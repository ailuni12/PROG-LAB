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turing\ALUMNO\Prof_Behringer\EXCEL\30-09-2024\"/>
    </mc:Choice>
  </mc:AlternateContent>
  <xr:revisionPtr revIDLastSave="0" documentId="8_{FFB52ADB-3D6F-44A9-8CDF-C57282A45232}" xr6:coauthVersionLast="47" xr6:coauthVersionMax="47" xr10:uidLastSave="{00000000-0000-0000-0000-000000000000}"/>
  <bookViews>
    <workbookView xWindow="-120" yWindow="-16320" windowWidth="29040" windowHeight="15720" activeTab="2" xr2:uid="{00000000-000D-0000-FFFF-FFFF00000000}"/>
  </bookViews>
  <sheets>
    <sheet name="Consigna" sheetId="8" r:id="rId1"/>
    <sheet name="Factura" sheetId="1" r:id="rId2"/>
    <sheet name="artículos" sheetId="3" r:id="rId3"/>
    <sheet name="clientes" sheetId="2" r:id="rId4"/>
    <sheet name="Registro de facturas" sheetId="4"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4" l="1"/>
  <c r="A3" i="4"/>
  <c r="A4" i="4"/>
  <c r="A5" i="4"/>
  <c r="D2" i="1"/>
  <c r="H8" i="1"/>
  <c r="H9" i="1"/>
  <c r="H10" i="1"/>
  <c r="H11" i="1"/>
  <c r="H12" i="1"/>
  <c r="H13" i="1"/>
  <c r="H14" i="1"/>
  <c r="H15" i="1"/>
  <c r="H16" i="1"/>
  <c r="H7" i="1"/>
  <c r="I8" i="1"/>
  <c r="J8" i="1" s="1"/>
  <c r="I9" i="1"/>
  <c r="J9" i="1" s="1"/>
  <c r="I10" i="1"/>
  <c r="J10" i="1" s="1"/>
  <c r="I11" i="1"/>
  <c r="J11" i="1" s="1"/>
  <c r="I12" i="1"/>
  <c r="J12" i="1" s="1"/>
  <c r="I13" i="1"/>
  <c r="J13" i="1" s="1"/>
  <c r="I14" i="1"/>
  <c r="J14" i="1" s="1"/>
  <c r="I15" i="1"/>
  <c r="J15" i="1" s="1"/>
  <c r="I16" i="1"/>
  <c r="J16" i="1" s="1"/>
  <c r="I7" i="1"/>
  <c r="J7" i="1" s="1"/>
  <c r="I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Jorge Behringer</author>
    <author>Alejandro</author>
    <author>horacio</author>
  </authors>
  <commentList>
    <comment ref="F2" authorId="0" shapeId="0" xr:uid="{00000000-0006-0000-0000-000001000000}">
      <text>
        <r>
          <rPr>
            <b/>
            <sz val="9"/>
            <color indexed="81"/>
            <rFont val="Tahoma"/>
            <family val="2"/>
          </rPr>
          <t>Alejandro Jorge Behringer:</t>
        </r>
        <r>
          <rPr>
            <sz val="9"/>
            <color indexed="81"/>
            <rFont val="Tahoma"/>
            <family val="2"/>
          </rPr>
          <t xml:space="preserve">
Aquí poner la fewcha de hoy
</t>
        </r>
      </text>
    </comment>
    <comment ref="C3" authorId="0" shapeId="0" xr:uid="{00000000-0006-0000-0000-000002000000}">
      <text>
        <r>
          <rPr>
            <b/>
            <sz val="9"/>
            <color indexed="81"/>
            <rFont val="Tahoma"/>
            <family val="2"/>
          </rPr>
          <t>Alejandro Jorge Behringer:</t>
        </r>
        <r>
          <rPr>
            <sz val="9"/>
            <color indexed="81"/>
            <rFont val="Tahoma"/>
            <family val="2"/>
          </rPr>
          <t xml:space="preserve">
Aquí poner el codigo de cliente, armar lista desplegable</t>
        </r>
      </text>
    </comment>
    <comment ref="D3" authorId="1" shapeId="0" xr:uid="{00000000-0006-0000-0000-000003000000}">
      <text>
        <r>
          <rPr>
            <b/>
            <sz val="8"/>
            <color indexed="81"/>
            <rFont val="Tahoma"/>
            <family val="2"/>
          </rPr>
          <t>Alejandro:</t>
        </r>
        <r>
          <rPr>
            <sz val="8"/>
            <color indexed="81"/>
            <rFont val="Tahoma"/>
            <family val="2"/>
          </rPr>
          <t xml:space="preserve">
Aquí poner el nombre de la empresa que se encuentra en la solapa cliente</t>
        </r>
      </text>
    </comment>
    <comment ref="C4" authorId="1" shapeId="0" xr:uid="{00000000-0006-0000-0000-000004000000}">
      <text>
        <r>
          <rPr>
            <b/>
            <sz val="8"/>
            <color indexed="81"/>
            <rFont val="Tahoma"/>
            <family val="2"/>
          </rPr>
          <t>Alejandro:</t>
        </r>
        <r>
          <rPr>
            <sz val="8"/>
            <color indexed="81"/>
            <rFont val="Tahoma"/>
            <family val="2"/>
          </rPr>
          <t xml:space="preserve">
Aquí poner la direccion que trae del cliente
</t>
        </r>
      </text>
    </comment>
    <comment ref="C5" authorId="2" shapeId="0" xr:uid="{00000000-0006-0000-0000-000005000000}">
      <text>
        <r>
          <rPr>
            <b/>
            <sz val="9"/>
            <color indexed="81"/>
            <rFont val="Tahoma"/>
            <family val="2"/>
          </rPr>
          <t>horacio:</t>
        </r>
        <r>
          <rPr>
            <sz val="9"/>
            <color indexed="81"/>
            <rFont val="Tahoma"/>
            <family val="2"/>
          </rPr>
          <t xml:space="preserve">
Colocar el Apellido, Nombre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B2" authorId="0" shapeId="0" xr:uid="{3E9F71F4-764C-4CDA-92EA-016773435E1B}">
      <text>
        <r>
          <rPr>
            <b/>
            <sz val="8"/>
            <color indexed="81"/>
            <rFont val="Tahoma"/>
            <family val="2"/>
          </rPr>
          <t>Alejandro:</t>
        </r>
        <r>
          <rPr>
            <sz val="8"/>
            <color indexed="81"/>
            <rFont val="Tahoma"/>
            <family val="2"/>
          </rPr>
          <t xml:space="preserve">
Aquí poner el nombre de la empresa que se encuentra en la solapa cliente</t>
        </r>
      </text>
    </comment>
    <comment ref="B3" authorId="0" shapeId="0" xr:uid="{3DD1359E-50BE-4933-B550-C652CFEE8A78}">
      <text>
        <r>
          <rPr>
            <b/>
            <sz val="8"/>
            <color indexed="81"/>
            <rFont val="Tahoma"/>
            <family val="2"/>
          </rPr>
          <t>Alejandro:</t>
        </r>
        <r>
          <rPr>
            <sz val="8"/>
            <color indexed="81"/>
            <rFont val="Tahoma"/>
            <family val="2"/>
          </rPr>
          <t xml:space="preserve">
Aquí poner el nombre de la empresa que se encuentra en la solapa cliente</t>
        </r>
      </text>
    </comment>
    <comment ref="B4" authorId="0" shapeId="0" xr:uid="{399E06DC-9EC2-4267-AC3D-2CA2ECF1F2CF}">
      <text>
        <r>
          <rPr>
            <b/>
            <sz val="8"/>
            <color indexed="81"/>
            <rFont val="Tahoma"/>
            <family val="2"/>
          </rPr>
          <t>Alejandro:</t>
        </r>
        <r>
          <rPr>
            <sz val="8"/>
            <color indexed="81"/>
            <rFont val="Tahoma"/>
            <family val="2"/>
          </rPr>
          <t xml:space="preserve">
Aquí poner el nombre de la empresa que se encuentra en la solapa cliente</t>
        </r>
      </text>
    </comment>
    <comment ref="B5" authorId="0" shapeId="0" xr:uid="{379BA6E6-1782-4E3C-80AD-05A6E4A27F6B}">
      <text>
        <r>
          <rPr>
            <b/>
            <sz val="8"/>
            <color indexed="81"/>
            <rFont val="Tahoma"/>
            <family val="2"/>
          </rPr>
          <t>Alejandro:</t>
        </r>
        <r>
          <rPr>
            <sz val="8"/>
            <color indexed="81"/>
            <rFont val="Tahoma"/>
            <family val="2"/>
          </rPr>
          <t xml:space="preserve">
Aquí poner el nombre de la empresa que se encuentra en la solapa cliente</t>
        </r>
      </text>
    </comment>
  </commentList>
</comments>
</file>

<file path=xl/sharedStrings.xml><?xml version="1.0" encoding="utf-8"?>
<sst xmlns="http://schemas.openxmlformats.org/spreadsheetml/2006/main" count="156" uniqueCount="143">
  <si>
    <t>FACTURA</t>
  </si>
  <si>
    <t>FECHA:</t>
  </si>
  <si>
    <t>CLIENTE</t>
  </si>
  <si>
    <t>144-1</t>
  </si>
  <si>
    <t>DIRECCIÓN</t>
  </si>
  <si>
    <t>Codigo</t>
  </si>
  <si>
    <t>Cantidad</t>
  </si>
  <si>
    <t>DETALLE</t>
  </si>
  <si>
    <t>PRECIO UNIT,</t>
  </si>
  <si>
    <t>PRECIO TOTAL</t>
  </si>
  <si>
    <t>Subtotal:</t>
  </si>
  <si>
    <t>Descuento:</t>
  </si>
  <si>
    <t>IVA:</t>
  </si>
  <si>
    <t>Total Gral</t>
  </si>
  <si>
    <t xml:space="preserve">1) Determine el costo en Pesos </t>
  </si>
  <si>
    <t>Porcentaje de Ganacia</t>
  </si>
  <si>
    <t>2)  determine el Precio de Venta en Pesos que esta dado por el porcentaje de ganacia</t>
  </si>
  <si>
    <t>Código</t>
  </si>
  <si>
    <t>Descripción</t>
  </si>
  <si>
    <t>Costo $</t>
  </si>
  <si>
    <t>Origen</t>
  </si>
  <si>
    <t>Precio venta</t>
  </si>
  <si>
    <t>stock</t>
  </si>
  <si>
    <t>Placa video</t>
  </si>
  <si>
    <t>Nacional</t>
  </si>
  <si>
    <t>Cable paralelo</t>
  </si>
  <si>
    <t>China</t>
  </si>
  <si>
    <t>Ficha teléfono</t>
  </si>
  <si>
    <t>Tailandia</t>
  </si>
  <si>
    <t>CD-R caja por 10</t>
  </si>
  <si>
    <t>Estados Unidos</t>
  </si>
  <si>
    <t>Unidad de CD-Rom 50X</t>
  </si>
  <si>
    <t>Francia</t>
  </si>
  <si>
    <t>Grabadora CD 6x8x24</t>
  </si>
  <si>
    <t>Parlantes PC</t>
  </si>
  <si>
    <t>Escáner 1200 dpi</t>
  </si>
  <si>
    <t>Japón</t>
  </si>
  <si>
    <t>Impresora láser</t>
  </si>
  <si>
    <t>España</t>
  </si>
  <si>
    <t>Monitor 15´</t>
  </si>
  <si>
    <t>Monitor 17´</t>
  </si>
  <si>
    <t>Mouse óptico</t>
  </si>
  <si>
    <t>Teclado inalámbrico</t>
  </si>
  <si>
    <t>Joystick TW</t>
  </si>
  <si>
    <t>Inglaterra</t>
  </si>
  <si>
    <t>Resma A4 90g</t>
  </si>
  <si>
    <t>Resma Oficio 75g</t>
  </si>
  <si>
    <t>Papel fotográfico</t>
  </si>
  <si>
    <t>Regulador de tensión</t>
  </si>
  <si>
    <t>UPS</t>
  </si>
  <si>
    <t>Disquetes caja por 10</t>
  </si>
  <si>
    <t xml:space="preserve">CÓDIGO </t>
  </si>
  <si>
    <t>EMPRESA</t>
  </si>
  <si>
    <t>NOMBRE</t>
  </si>
  <si>
    <t>APELLIDO</t>
  </si>
  <si>
    <t>HORARIO</t>
  </si>
  <si>
    <t>Tipo de descuento</t>
  </si>
  <si>
    <t>Tipo de Descuento</t>
  </si>
  <si>
    <t>descuentos</t>
  </si>
  <si>
    <t>121-1</t>
  </si>
  <si>
    <t>Domino</t>
  </si>
  <si>
    <t>alejandro</t>
  </si>
  <si>
    <t>rodríquez</t>
  </si>
  <si>
    <t>14-20</t>
  </si>
  <si>
    <t>Riobamba 1045</t>
  </si>
  <si>
    <t>125-1</t>
  </si>
  <si>
    <t>Sur</t>
  </si>
  <si>
    <t>maría</t>
  </si>
  <si>
    <t>ibañez</t>
  </si>
  <si>
    <t>15-21</t>
  </si>
  <si>
    <t>Alsina 3540</t>
  </si>
  <si>
    <t>138-1</t>
  </si>
  <si>
    <t>Marimar</t>
  </si>
  <si>
    <t>julia</t>
  </si>
  <si>
    <t>estomba</t>
  </si>
  <si>
    <t>16-22</t>
  </si>
  <si>
    <t>Callao 569</t>
  </si>
  <si>
    <t>Luciérnaga</t>
  </si>
  <si>
    <t>anahí</t>
  </si>
  <si>
    <t>bilun</t>
  </si>
  <si>
    <t>10-20</t>
  </si>
  <si>
    <t>Rivadavia 456</t>
  </si>
  <si>
    <t>145-1</t>
  </si>
  <si>
    <t>Lazaro</t>
  </si>
  <si>
    <t>agustín</t>
  </si>
  <si>
    <t>rosso</t>
  </si>
  <si>
    <t>9-18</t>
  </si>
  <si>
    <t>Perú 56</t>
  </si>
  <si>
    <t>147-1</t>
  </si>
  <si>
    <t>Avelinos</t>
  </si>
  <si>
    <t>lucas</t>
  </si>
  <si>
    <t>gonzález</t>
  </si>
  <si>
    <t>10-18</t>
  </si>
  <si>
    <t>Corrientes 321</t>
  </si>
  <si>
    <t>147-2</t>
  </si>
  <si>
    <t>josé</t>
  </si>
  <si>
    <t>iturriaga</t>
  </si>
  <si>
    <t>Mitre 547</t>
  </si>
  <si>
    <t>171-1</t>
  </si>
  <si>
    <t>Maite</t>
  </si>
  <si>
    <t>diego</t>
  </si>
  <si>
    <t>miranda</t>
  </si>
  <si>
    <t>10-17</t>
  </si>
  <si>
    <t>Uriburu 905</t>
  </si>
  <si>
    <t>178-1</t>
  </si>
  <si>
    <t>Autoluz</t>
  </si>
  <si>
    <t>julieta</t>
  </si>
  <si>
    <t>macará</t>
  </si>
  <si>
    <t>13-17</t>
  </si>
  <si>
    <t>Reconquista 895</t>
  </si>
  <si>
    <t>189-1</t>
  </si>
  <si>
    <t xml:space="preserve">Doimar </t>
  </si>
  <si>
    <t>cristina</t>
  </si>
  <si>
    <t>soldati</t>
  </si>
  <si>
    <t>Lavalle 678</t>
  </si>
  <si>
    <t>195-1</t>
  </si>
  <si>
    <t>Castro y cía</t>
  </si>
  <si>
    <t>mariana</t>
  </si>
  <si>
    <t>tolosa</t>
  </si>
  <si>
    <t>9-15</t>
  </si>
  <si>
    <t>Paso 1234</t>
  </si>
  <si>
    <t>N° Factura</t>
  </si>
  <si>
    <t>Cliente</t>
  </si>
  <si>
    <t>Fecha</t>
  </si>
  <si>
    <t>Subtotal</t>
  </si>
  <si>
    <t>Subtotal Con Dto</t>
  </si>
  <si>
    <t>Total</t>
  </si>
  <si>
    <t>0001-0000003</t>
  </si>
  <si>
    <t>0001-0000002</t>
  </si>
  <si>
    <t>0001-0000001</t>
  </si>
  <si>
    <t>0001-0000004</t>
  </si>
  <si>
    <t>Dólar Oficial</t>
  </si>
  <si>
    <t>costo U$s</t>
  </si>
  <si>
    <t>0001-0000006</t>
  </si>
  <si>
    <t>0001-0000007</t>
  </si>
  <si>
    <t>codigo</t>
  </si>
  <si>
    <t>Cod_Origen</t>
  </si>
  <si>
    <t>Aquí no tendras que hacer nada, mas que utilizar la tabla para poder facturar</t>
  </si>
  <si>
    <t>sucursal</t>
  </si>
  <si>
    <t>numero de factura</t>
  </si>
  <si>
    <t>3) Valorice el Stock ( la valorazacion es en Pesos y Dolares, de esta manera sabemos el costo de inversion)</t>
  </si>
  <si>
    <t>5) Determine el costo de inversion por pais y grafiquelo</t>
  </si>
  <si>
    <t>4) Complete la columna origen con el nombre de lel pais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</si>
</sst>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quot;$&quot;\ * #,##0.00_ ;_ &quot;$&quot;\ * \-#,##0.00_ ;_ &quot;$&quot;\ * &quot;-&quot;??_ ;_ @_ "/>
    <numFmt numFmtId="165" formatCode="_ * #,##0.00_ ;_ * \-#,##0.00_ ;_ * &quot;-&quot;??_ ;_ @_ "/>
    <numFmt numFmtId="166" formatCode="d\-m"/>
    <numFmt numFmtId="167" formatCode="d\-mmm\-yyyy"/>
    <numFmt numFmtId="168" formatCode="_ &quot;$&quot;\ * #,##0.000_ ;_ &quot;$&quot;\ * \-#,##0.000_ ;_ &quot;$&quot;\ * &quot;-&quot;??_ ;_ @_ "/>
  </numFmts>
  <fonts count="31">
    <font>
      <sz val="10"/>
      <name val="Arial"/>
    </font>
    <font>
      <sz val="10"/>
      <name val="Arial"/>
      <family val="2"/>
    </font>
    <font>
      <sz val="10"/>
      <name val="Futuri"/>
    </font>
    <font>
      <sz val="11"/>
      <name val="Zurich Lt BT"/>
      <family val="2"/>
    </font>
    <font>
      <sz val="11"/>
      <name val="Futuri"/>
    </font>
    <font>
      <sz val="10"/>
      <name val="Arial"/>
      <family val="2"/>
    </font>
    <font>
      <sz val="10"/>
      <name val="Zurich Lt BT"/>
      <family val="2"/>
    </font>
    <font>
      <b/>
      <sz val="10"/>
      <name val="Zurich Lt BT"/>
      <family val="2"/>
    </font>
    <font>
      <b/>
      <sz val="20"/>
      <color indexed="60"/>
      <name val="Flick Bold Hollow"/>
    </font>
    <font>
      <sz val="11"/>
      <color indexed="60"/>
      <name val="Zurich Lt BT"/>
      <family val="2"/>
    </font>
    <font>
      <b/>
      <sz val="20"/>
      <color indexed="60"/>
      <name val="Terminal"/>
      <family val="3"/>
      <charset val="255"/>
    </font>
    <font>
      <b/>
      <i/>
      <sz val="11"/>
      <color indexed="60"/>
      <name val="Arial"/>
      <family val="2"/>
    </font>
    <font>
      <i/>
      <sz val="11"/>
      <color indexed="60"/>
      <name val="Zurich Lt BT"/>
    </font>
    <font>
      <b/>
      <sz val="10"/>
      <color indexed="60"/>
      <name val="Arial"/>
      <family val="2"/>
    </font>
    <font>
      <b/>
      <sz val="10"/>
      <name val="Zurich Lt BT"/>
    </font>
    <font>
      <sz val="8"/>
      <color indexed="81"/>
      <name val="Tahoma"/>
      <family val="2"/>
    </font>
    <font>
      <b/>
      <sz val="8"/>
      <color indexed="81"/>
      <name val="Tahoma"/>
      <family val="2"/>
    </font>
    <font>
      <b/>
      <sz val="9"/>
      <color indexed="81"/>
      <name val="Tahoma"/>
      <family val="2"/>
    </font>
    <font>
      <sz val="9"/>
      <color indexed="81"/>
      <name val="Tahoma"/>
      <family val="2"/>
    </font>
    <font>
      <b/>
      <sz val="14"/>
      <color indexed="60"/>
      <name val="Flick Bold Hollow"/>
    </font>
    <font>
      <b/>
      <sz val="11"/>
      <name val="Arial"/>
      <family val="2"/>
    </font>
    <font>
      <b/>
      <sz val="10"/>
      <color rgb="FFFF0000"/>
      <name val="Arial"/>
      <family val="2"/>
    </font>
    <font>
      <b/>
      <sz val="16"/>
      <color indexed="60"/>
      <name val="Flick Bold Hollow"/>
    </font>
    <font>
      <b/>
      <sz val="12"/>
      <color indexed="60"/>
      <name val="Flick Bold Hollow"/>
    </font>
    <font>
      <sz val="11"/>
      <name val="Arial"/>
      <family val="2"/>
    </font>
    <font>
      <sz val="12"/>
      <name val="Arial"/>
      <family val="2"/>
    </font>
    <font>
      <b/>
      <sz val="14"/>
      <color rgb="FFFF0000"/>
      <name val="Arial"/>
      <family val="2"/>
    </font>
    <font>
      <sz val="12"/>
      <color rgb="FFFF0000"/>
      <name val="Arial"/>
      <family val="2"/>
    </font>
    <font>
      <b/>
      <sz val="16"/>
      <color indexed="60"/>
      <name val="Zurich Lt BT"/>
    </font>
    <font>
      <sz val="14"/>
      <name val="Arial"/>
      <family val="2"/>
    </font>
    <font>
      <b/>
      <sz val="11"/>
      <color indexed="60"/>
      <name val="Arial"/>
      <family val="2"/>
    </font>
  </fonts>
  <fills count="9">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50"/>
        <bgColor indexed="64"/>
      </patternFill>
    </fill>
    <fill>
      <patternFill patternType="solid">
        <fgColor indexed="13"/>
        <bgColor indexed="64"/>
      </patternFill>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style="medium">
        <color indexed="64"/>
      </right>
      <top style="medium">
        <color indexed="64"/>
      </top>
      <bottom/>
      <diagonal/>
    </border>
  </borders>
  <cellStyleXfs count="4">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96">
    <xf numFmtId="0" fontId="0" fillId="0" borderId="0" xfId="0"/>
    <xf numFmtId="0" fontId="2" fillId="0" borderId="0" xfId="0" applyFont="1"/>
    <xf numFmtId="0" fontId="3" fillId="0" borderId="0" xfId="0" applyFont="1"/>
    <xf numFmtId="0" fontId="4" fillId="0" borderId="0" xfId="0" applyFont="1"/>
    <xf numFmtId="0" fontId="3" fillId="0" borderId="0" xfId="0" applyFont="1" applyAlignment="1">
      <alignment horizontal="center"/>
    </xf>
    <xf numFmtId="0" fontId="6" fillId="0" borderId="0" xfId="0" applyFont="1" applyAlignment="1">
      <alignment horizontal="right"/>
    </xf>
    <xf numFmtId="0" fontId="7" fillId="0" borderId="0" xfId="0" applyFont="1" applyAlignment="1">
      <alignment horizontal="right"/>
    </xf>
    <xf numFmtId="167" fontId="6" fillId="0" borderId="0" xfId="0" applyNumberFormat="1" applyFont="1" applyAlignment="1">
      <alignment horizontal="left"/>
    </xf>
    <xf numFmtId="167" fontId="3" fillId="0" borderId="0" xfId="0" applyNumberFormat="1" applyFont="1"/>
    <xf numFmtId="0" fontId="0" fillId="0" borderId="0" xfId="0" applyAlignment="1">
      <alignment horizontal="center"/>
    </xf>
    <xf numFmtId="9" fontId="0" fillId="0" borderId="0" xfId="3" applyFont="1"/>
    <xf numFmtId="0" fontId="0" fillId="0" borderId="0" xfId="0" applyAlignment="1">
      <alignment horizontal="center" vertical="center"/>
    </xf>
    <xf numFmtId="9" fontId="0" fillId="0" borderId="0" xfId="0" applyNumberFormat="1"/>
    <xf numFmtId="0" fontId="5" fillId="0" borderId="0" xfId="0" applyFont="1"/>
    <xf numFmtId="0" fontId="21" fillId="0" borderId="0" xfId="0" applyFont="1"/>
    <xf numFmtId="0" fontId="20" fillId="6" borderId="0" xfId="0" applyFont="1" applyFill="1" applyAlignment="1">
      <alignment horizontal="center"/>
    </xf>
    <xf numFmtId="0" fontId="0" fillId="2" borderId="1" xfId="0" applyFill="1" applyBorder="1"/>
    <xf numFmtId="14" fontId="9" fillId="6" borderId="13" xfId="0" applyNumberFormat="1" applyFont="1" applyFill="1" applyBorder="1" applyAlignment="1">
      <alignment horizontal="center"/>
    </xf>
    <xf numFmtId="0" fontId="10" fillId="3" borderId="10" xfId="0" applyFont="1" applyFill="1" applyBorder="1" applyAlignment="1" applyProtection="1">
      <alignment horizontal="left"/>
      <protection locked="0"/>
    </xf>
    <xf numFmtId="0" fontId="8" fillId="3" borderId="5" xfId="0" applyFont="1" applyFill="1" applyBorder="1" applyAlignment="1" applyProtection="1">
      <alignment horizontal="left"/>
      <protection locked="0"/>
    </xf>
    <xf numFmtId="0" fontId="13" fillId="3" borderId="11" xfId="0" applyFont="1" applyFill="1" applyBorder="1" applyProtection="1">
      <protection locked="0"/>
    </xf>
    <xf numFmtId="14" fontId="12" fillId="3" borderId="0" xfId="0" applyNumberFormat="1" applyFont="1" applyFill="1" applyAlignment="1" applyProtection="1">
      <alignment horizontal="right"/>
      <protection locked="0"/>
    </xf>
    <xf numFmtId="14" fontId="12" fillId="3" borderId="6" xfId="0" applyNumberFormat="1" applyFont="1" applyFill="1" applyBorder="1" applyAlignment="1" applyProtection="1">
      <alignment horizontal="right"/>
      <protection locked="0"/>
    </xf>
    <xf numFmtId="0" fontId="9" fillId="3" borderId="6" xfId="0" applyFont="1" applyFill="1" applyBorder="1" applyProtection="1">
      <protection locked="0"/>
    </xf>
    <xf numFmtId="166" fontId="9" fillId="3" borderId="7" xfId="0" applyNumberFormat="1" applyFont="1" applyFill="1" applyBorder="1" applyProtection="1">
      <protection locked="0"/>
    </xf>
    <xf numFmtId="0" fontId="9" fillId="3" borderId="8" xfId="0" applyFont="1" applyFill="1" applyBorder="1" applyProtection="1">
      <protection locked="0"/>
    </xf>
    <xf numFmtId="0" fontId="9" fillId="3" borderId="9" xfId="0" applyFont="1" applyFill="1" applyBorder="1" applyProtection="1">
      <protection locked="0"/>
    </xf>
    <xf numFmtId="0" fontId="14" fillId="3" borderId="12" xfId="0" applyFont="1" applyFill="1" applyBorder="1" applyAlignment="1" applyProtection="1">
      <alignment horizontal="center" vertical="center"/>
      <protection locked="0"/>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3" fillId="0" borderId="0" xfId="0" applyFont="1" applyProtection="1">
      <protection locked="0"/>
    </xf>
    <xf numFmtId="0" fontId="0" fillId="0" borderId="0" xfId="0" applyProtection="1">
      <protection locked="0"/>
    </xf>
    <xf numFmtId="0" fontId="8" fillId="3" borderId="1" xfId="0" applyFont="1" applyFill="1" applyBorder="1" applyAlignment="1" applyProtection="1">
      <alignment horizontal="right"/>
      <protection locked="0"/>
    </xf>
    <xf numFmtId="0" fontId="7" fillId="0" borderId="0" xfId="0" applyFont="1" applyAlignment="1" applyProtection="1">
      <alignment horizontal="right"/>
      <protection locked="0"/>
    </xf>
    <xf numFmtId="167" fontId="6" fillId="0" borderId="0" xfId="0" applyNumberFormat="1" applyFont="1" applyAlignment="1" applyProtection="1">
      <alignment horizontal="left"/>
      <protection locked="0"/>
    </xf>
    <xf numFmtId="9" fontId="8" fillId="3" borderId="1" xfId="3" applyFont="1" applyFill="1" applyBorder="1" applyAlignment="1" applyProtection="1">
      <alignment horizontal="center" vertical="center"/>
      <protection locked="0"/>
    </xf>
    <xf numFmtId="0" fontId="8" fillId="3" borderId="1" xfId="0" applyFont="1" applyFill="1" applyBorder="1" applyAlignment="1" applyProtection="1">
      <alignment horizontal="center" vertical="center" wrapText="1"/>
      <protection locked="0"/>
    </xf>
    <xf numFmtId="168" fontId="19" fillId="3" borderId="1" xfId="0" applyNumberFormat="1" applyFont="1" applyFill="1" applyBorder="1" applyAlignment="1">
      <alignment horizontal="center" vertical="center"/>
    </xf>
    <xf numFmtId="0" fontId="5" fillId="0" borderId="0" xfId="0" applyFont="1" applyAlignment="1">
      <alignment horizontal="center" vertical="center"/>
    </xf>
    <xf numFmtId="164" fontId="0" fillId="2" borderId="1" xfId="2" applyFont="1" applyFill="1" applyBorder="1" applyAlignment="1" applyProtection="1">
      <alignment horizontal="center"/>
    </xf>
    <xf numFmtId="164" fontId="0" fillId="2" borderId="4" xfId="2" applyFont="1" applyFill="1" applyBorder="1" applyAlignment="1" applyProtection="1">
      <alignment horizontal="center"/>
    </xf>
    <xf numFmtId="2" fontId="23" fillId="3" borderId="5" xfId="0" applyNumberFormat="1" applyFont="1" applyFill="1" applyBorder="1" applyAlignment="1" applyProtection="1">
      <alignment horizontal="right" vertical="center"/>
      <protection locked="0"/>
    </xf>
    <xf numFmtId="2" fontId="0" fillId="0" borderId="0" xfId="0" applyNumberFormat="1"/>
    <xf numFmtId="0" fontId="24" fillId="0" borderId="0" xfId="0" applyFont="1"/>
    <xf numFmtId="0" fontId="20" fillId="4" borderId="1" xfId="0" applyFont="1" applyFill="1" applyBorder="1" applyAlignment="1">
      <alignment horizontal="center"/>
    </xf>
    <xf numFmtId="164" fontId="25" fillId="0" borderId="1" xfId="2" applyFont="1" applyBorder="1" applyAlignment="1">
      <alignment horizontal="center"/>
    </xf>
    <xf numFmtId="0" fontId="25" fillId="0" borderId="3" xfId="0" applyFont="1" applyBorder="1" applyAlignment="1">
      <alignment horizontal="center"/>
    </xf>
    <xf numFmtId="0" fontId="25" fillId="0" borderId="1" xfId="0" applyFont="1" applyBorder="1"/>
    <xf numFmtId="0" fontId="25" fillId="0" borderId="14" xfId="0" applyFont="1" applyBorder="1" applyAlignment="1">
      <alignment horizontal="center"/>
    </xf>
    <xf numFmtId="0" fontId="25" fillId="0" borderId="18" xfId="0" applyFont="1" applyBorder="1" applyAlignment="1">
      <alignment horizontal="center"/>
    </xf>
    <xf numFmtId="0" fontId="25" fillId="0" borderId="19" xfId="0" applyFont="1" applyBorder="1"/>
    <xf numFmtId="0" fontId="25" fillId="0" borderId="20" xfId="0" applyFont="1" applyBorder="1" applyAlignment="1">
      <alignment horizontal="center"/>
    </xf>
    <xf numFmtId="0" fontId="25" fillId="5" borderId="13" xfId="0" applyFont="1" applyFill="1" applyBorder="1" applyAlignment="1">
      <alignment horizontal="center" wrapText="1"/>
    </xf>
    <xf numFmtId="49" fontId="25" fillId="0" borderId="1" xfId="0" applyNumberFormat="1" applyFont="1" applyBorder="1" applyAlignment="1">
      <alignment horizontal="center"/>
    </xf>
    <xf numFmtId="49" fontId="25" fillId="0" borderId="19" xfId="0" applyNumberFormat="1" applyFont="1" applyBorder="1" applyAlignment="1">
      <alignment horizontal="center"/>
    </xf>
    <xf numFmtId="9" fontId="27" fillId="7" borderId="0" xfId="0" applyNumberFormat="1" applyFont="1" applyFill="1" applyAlignment="1">
      <alignment horizontal="center" vertical="center" wrapText="1"/>
    </xf>
    <xf numFmtId="9" fontId="27" fillId="7" borderId="0" xfId="0" applyNumberFormat="1" applyFont="1" applyFill="1" applyAlignment="1">
      <alignment horizontal="center" vertical="center"/>
    </xf>
    <xf numFmtId="1" fontId="25" fillId="2" borderId="0" xfId="1" applyNumberFormat="1" applyFont="1" applyFill="1" applyAlignment="1">
      <alignment horizontal="center" vertical="center"/>
    </xf>
    <xf numFmtId="9" fontId="25" fillId="2" borderId="0" xfId="0" applyNumberFormat="1" applyFont="1" applyFill="1" applyAlignment="1">
      <alignment horizontal="center" vertical="center"/>
    </xf>
    <xf numFmtId="0" fontId="5" fillId="0" borderId="0" xfId="0" applyFont="1" applyAlignment="1">
      <alignment horizontal="center" vertical="center" wrapText="1"/>
    </xf>
    <xf numFmtId="164" fontId="5" fillId="0" borderId="0" xfId="2" applyFont="1" applyAlignment="1">
      <alignment horizontal="center" vertical="center"/>
    </xf>
    <xf numFmtId="14" fontId="5" fillId="0" borderId="0" xfId="0" applyNumberFormat="1" applyFont="1" applyAlignment="1">
      <alignment horizontal="center" vertical="center"/>
    </xf>
    <xf numFmtId="14" fontId="28" fillId="6" borderId="13" xfId="0" applyNumberFormat="1" applyFont="1" applyFill="1" applyBorder="1" applyAlignment="1">
      <alignment horizontal="center" vertical="center"/>
    </xf>
    <xf numFmtId="0" fontId="8" fillId="3" borderId="1" xfId="0" applyFont="1" applyFill="1" applyBorder="1" applyAlignment="1" applyProtection="1">
      <alignment horizontal="right" wrapText="1"/>
      <protection locked="0"/>
    </xf>
    <xf numFmtId="168" fontId="22" fillId="7" borderId="1" xfId="0" applyNumberFormat="1" applyFont="1" applyFill="1" applyBorder="1" applyAlignment="1">
      <alignment horizontal="center" vertical="center"/>
    </xf>
    <xf numFmtId="0" fontId="24" fillId="8" borderId="13" xfId="0" applyFont="1" applyFill="1" applyBorder="1" applyAlignment="1">
      <alignment horizontal="center" vertical="center" wrapText="1"/>
    </xf>
    <xf numFmtId="164" fontId="25" fillId="8" borderId="13" xfId="2" applyFont="1" applyFill="1" applyBorder="1"/>
    <xf numFmtId="9" fontId="25" fillId="5" borderId="13" xfId="3" applyFont="1" applyFill="1" applyBorder="1" applyAlignment="1">
      <alignment horizontal="center" vertical="center"/>
    </xf>
    <xf numFmtId="0" fontId="25" fillId="0" borderId="1" xfId="0" applyFont="1" applyBorder="1" applyAlignment="1">
      <alignment horizontal="center"/>
    </xf>
    <xf numFmtId="0" fontId="29" fillId="0" borderId="0" xfId="0" applyFont="1"/>
    <xf numFmtId="0" fontId="26" fillId="0" borderId="0" xfId="0" applyFont="1"/>
    <xf numFmtId="0" fontId="24" fillId="0" borderId="0" xfId="0" applyFont="1" applyAlignment="1">
      <alignment horizontal="left"/>
    </xf>
    <xf numFmtId="0" fontId="1" fillId="0" borderId="0" xfId="0" applyFont="1" applyAlignment="1">
      <alignment horizontal="center" vertical="center"/>
    </xf>
    <xf numFmtId="0" fontId="0" fillId="0" borderId="1" xfId="0" applyBorder="1" applyAlignment="1">
      <alignment horizontal="center"/>
    </xf>
    <xf numFmtId="0" fontId="30" fillId="3" borderId="13" xfId="0" applyFont="1" applyFill="1" applyBorder="1" applyAlignment="1" applyProtection="1">
      <alignment horizontal="center"/>
      <protection locked="0"/>
    </xf>
    <xf numFmtId="0" fontId="0" fillId="0" borderId="10" xfId="0" applyBorder="1"/>
    <xf numFmtId="0" fontId="0" fillId="0" borderId="5" xfId="0" applyBorder="1"/>
    <xf numFmtId="0" fontId="0" fillId="0" borderId="22" xfId="0" applyBorder="1"/>
    <xf numFmtId="0" fontId="0" fillId="0" borderId="11" xfId="0" applyBorder="1"/>
    <xf numFmtId="0" fontId="0" fillId="0" borderId="6" xfId="0" applyBorder="1"/>
    <xf numFmtId="0" fontId="0" fillId="0" borderId="7" xfId="0" applyBorder="1"/>
    <xf numFmtId="0" fontId="0" fillId="0" borderId="8" xfId="0" applyBorder="1"/>
    <xf numFmtId="0" fontId="0" fillId="0" borderId="9" xfId="0" applyBorder="1"/>
    <xf numFmtId="166" fontId="11" fillId="3" borderId="5" xfId="0" applyNumberFormat="1" applyFont="1" applyFill="1" applyBorder="1" applyAlignment="1" applyProtection="1">
      <alignment horizontal="right" vertical="center"/>
      <protection locked="0"/>
    </xf>
    <xf numFmtId="0" fontId="25" fillId="7" borderId="1" xfId="0" applyFont="1" applyFill="1" applyBorder="1"/>
    <xf numFmtId="14" fontId="9" fillId="6" borderId="15" xfId="0" applyNumberFormat="1" applyFont="1" applyFill="1" applyBorder="1" applyAlignment="1">
      <alignment horizontal="center" wrapText="1"/>
    </xf>
    <xf numFmtId="0" fontId="0" fillId="6" borderId="16" xfId="0" applyFill="1" applyBorder="1" applyAlignment="1">
      <alignment horizontal="center" wrapText="1"/>
    </xf>
    <xf numFmtId="166" fontId="9" fillId="3" borderId="17" xfId="0" applyNumberFormat="1" applyFont="1" applyFill="1" applyBorder="1" applyAlignment="1" applyProtection="1">
      <alignment horizontal="center"/>
      <protection locked="0"/>
    </xf>
    <xf numFmtId="0" fontId="8" fillId="3" borderId="14" xfId="0" applyFont="1" applyFill="1" applyBorder="1" applyAlignment="1" applyProtection="1">
      <alignment horizontal="right"/>
      <protection locked="0"/>
    </xf>
    <xf numFmtId="0" fontId="8" fillId="3" borderId="3" xfId="0" applyFont="1" applyFill="1" applyBorder="1" applyAlignment="1" applyProtection="1">
      <alignment horizontal="right"/>
      <protection locked="0"/>
    </xf>
    <xf numFmtId="0" fontId="1" fillId="0" borderId="0" xfId="0" applyFont="1" applyAlignment="1">
      <alignment horizontal="center" vertical="center" wrapText="1"/>
    </xf>
    <xf numFmtId="0" fontId="1" fillId="0" borderId="21" xfId="0" applyFont="1" applyBorder="1" applyAlignment="1">
      <alignment horizontal="center" vertical="center" wrapText="1"/>
    </xf>
    <xf numFmtId="0" fontId="0" fillId="0" borderId="0" xfId="0" applyAlignment="1">
      <alignment horizontal="center"/>
    </xf>
    <xf numFmtId="9" fontId="8" fillId="7" borderId="1" xfId="3" applyFont="1" applyFill="1" applyBorder="1" applyAlignment="1" applyProtection="1">
      <alignment horizontal="center" vertical="center"/>
      <protection locked="0"/>
    </xf>
    <xf numFmtId="0" fontId="22" fillId="3" borderId="1" xfId="0" applyFont="1" applyFill="1" applyBorder="1" applyAlignment="1" applyProtection="1">
      <alignment horizontal="right" vertical="center"/>
      <protection locked="0"/>
    </xf>
    <xf numFmtId="0" fontId="0" fillId="0" borderId="0" xfId="0" applyAlignment="1">
      <alignment horizontal="left"/>
    </xf>
  </cellXfs>
  <cellStyles count="4">
    <cellStyle name="Millares" xfId="1" builtinId="3"/>
    <cellStyle name="Moneda" xfId="2" builtinId="4"/>
    <cellStyle name="Normal" xfId="0" builtinId="0"/>
    <cellStyle name="Porcentaje" xfId="3" builtinId="5"/>
  </cellStyles>
  <dxfs count="43">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dxf>
    <dxf>
      <font>
        <strike val="0"/>
        <outline val="0"/>
        <shadow val="0"/>
        <u val="none"/>
        <vertAlign val="baseline"/>
        <sz val="12"/>
        <name val="Arial"/>
        <family val="2"/>
        <scheme val="none"/>
      </font>
      <numFmt numFmtId="13" formatCode="0%"/>
      <fill>
        <patternFill patternType="solid">
          <fgColor indexed="64"/>
          <bgColor indexed="43"/>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Arial"/>
        <family val="2"/>
        <scheme val="none"/>
      </font>
      <numFmt numFmtId="1" formatCode="0"/>
      <fill>
        <patternFill patternType="solid">
          <fgColor indexed="64"/>
          <bgColor indexed="43"/>
        </patternFill>
      </fill>
      <alignment horizontal="center" vertical="center" textRotation="0" wrapText="0" indent="0" justifyLastLine="0" shrinkToFit="0" readingOrder="0"/>
    </dxf>
    <dxf>
      <font>
        <strike val="0"/>
        <outline val="0"/>
        <shadow val="0"/>
        <u val="none"/>
        <vertAlign val="baseline"/>
        <sz val="12"/>
        <name val="Arial"/>
        <family val="2"/>
        <scheme val="none"/>
      </font>
    </dxf>
    <dxf>
      <font>
        <strike val="0"/>
        <outline val="0"/>
        <shadow val="0"/>
        <u val="none"/>
        <vertAlign val="baseline"/>
        <sz val="12"/>
        <color rgb="FFFF0000"/>
        <name val="Arial"/>
        <family val="2"/>
        <scheme val="none"/>
      </font>
    </dxf>
    <dxf>
      <font>
        <strike val="0"/>
        <outline val="0"/>
        <shadow val="0"/>
        <u val="none"/>
        <vertAlign val="baseline"/>
        <sz val="12"/>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numFmt numFmtId="0" formatCode="Genera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outline="0">
        <bottom style="thin">
          <color indexed="64"/>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dxf>
    <dxf>
      <border outline="0">
        <right style="thin">
          <color indexed="64"/>
        </right>
        <top style="thin">
          <color indexed="64"/>
        </top>
      </border>
    </dxf>
    <dxf>
      <border outline="0">
        <bottom style="thin">
          <color indexed="64"/>
        </bottom>
      </border>
    </dxf>
    <dxf>
      <alignment horizontal="center" vertical="center" textRotation="0" wrapText="0" indent="0" justifyLastLine="0" shrinkToFit="0" readingOrder="0"/>
    </dxf>
    <dxf>
      <font>
        <strike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quot;$&quot;\ * #,##0.00_ ;_ &quot;$&quot;\ * \-#,##0.00_ ;_ &quot;$&quot;\ * &quot;-&quot;??_ ;_ @_ "/>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quot;$&quot;\ * #,##0.00_ ;_ &quot;$&quot;\ * \-#,##0.00_ ;_ &quot;$&quot;\ * &quot;-&quot;??_ ;_ @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auto="1"/>
        <name val="Arial"/>
        <family val="2"/>
        <scheme val="none"/>
      </font>
    </dxf>
    <dxf>
      <border outline="0">
        <bottom style="thin">
          <color indexed="64"/>
        </bottom>
      </border>
    </dxf>
    <dxf>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42"/>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50800</xdr:colOff>
      <xdr:row>2</xdr:row>
      <xdr:rowOff>152400</xdr:rowOff>
    </xdr:from>
    <xdr:to>
      <xdr:col>3</xdr:col>
      <xdr:colOff>723900</xdr:colOff>
      <xdr:row>6</xdr:row>
      <xdr:rowOff>19050</xdr:rowOff>
    </xdr:to>
    <xdr:sp macro="" textlink="">
      <xdr:nvSpPr>
        <xdr:cNvPr id="2" name="Rectángulo: esquinas redondeadas 1">
          <a:extLst>
            <a:ext uri="{FF2B5EF4-FFF2-40B4-BE49-F238E27FC236}">
              <a16:creationId xmlns:a16="http://schemas.microsoft.com/office/drawing/2014/main" id="{CB9AA6FE-D2C4-0F45-D84C-F999A8D48E48}"/>
            </a:ext>
          </a:extLst>
        </xdr:cNvPr>
        <xdr:cNvSpPr/>
      </xdr:nvSpPr>
      <xdr:spPr>
        <a:xfrm>
          <a:off x="984250" y="476250"/>
          <a:ext cx="1257300" cy="50165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Articulos</a:t>
          </a:r>
        </a:p>
      </xdr:txBody>
    </xdr:sp>
    <xdr:clientData/>
  </xdr:twoCellAnchor>
  <xdr:twoCellAnchor>
    <xdr:from>
      <xdr:col>2</xdr:col>
      <xdr:colOff>76200</xdr:colOff>
      <xdr:row>11</xdr:row>
      <xdr:rowOff>69850</xdr:rowOff>
    </xdr:from>
    <xdr:to>
      <xdr:col>3</xdr:col>
      <xdr:colOff>692150</xdr:colOff>
      <xdr:row>14</xdr:row>
      <xdr:rowOff>95250</xdr:rowOff>
    </xdr:to>
    <xdr:sp macro="" textlink="">
      <xdr:nvSpPr>
        <xdr:cNvPr id="3" name="Rectángulo: esquinas redondeadas 2">
          <a:extLst>
            <a:ext uri="{FF2B5EF4-FFF2-40B4-BE49-F238E27FC236}">
              <a16:creationId xmlns:a16="http://schemas.microsoft.com/office/drawing/2014/main" id="{9E41BED2-E9C1-2D50-6EF8-ECC1E9ED3620}"/>
            </a:ext>
          </a:extLst>
        </xdr:cNvPr>
        <xdr:cNvSpPr/>
      </xdr:nvSpPr>
      <xdr:spPr>
        <a:xfrm>
          <a:off x="1009650" y="1822450"/>
          <a:ext cx="1200150" cy="501650"/>
        </a:xfrm>
        <a:prstGeom prst="roundRect">
          <a:avLst>
            <a:gd name="adj" fmla="val 50000"/>
          </a:avLst>
        </a:prstGeom>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s-AR" sz="1200" b="1"/>
            <a:t>Faxturación</a:t>
          </a:r>
        </a:p>
      </xdr:txBody>
    </xdr:sp>
    <xdr:clientData/>
  </xdr:twoCellAnchor>
  <xdr:twoCellAnchor>
    <xdr:from>
      <xdr:col>2</xdr:col>
      <xdr:colOff>57150</xdr:colOff>
      <xdr:row>7</xdr:row>
      <xdr:rowOff>44450</xdr:rowOff>
    </xdr:from>
    <xdr:to>
      <xdr:col>3</xdr:col>
      <xdr:colOff>723900</xdr:colOff>
      <xdr:row>10</xdr:row>
      <xdr:rowOff>69850</xdr:rowOff>
    </xdr:to>
    <xdr:sp macro="" textlink="">
      <xdr:nvSpPr>
        <xdr:cNvPr id="4" name="Rectángulo: esquinas redondeadas 3">
          <a:extLst>
            <a:ext uri="{FF2B5EF4-FFF2-40B4-BE49-F238E27FC236}">
              <a16:creationId xmlns:a16="http://schemas.microsoft.com/office/drawing/2014/main" id="{F4373A21-EFD4-2736-1DDD-0FDC2BA1C055}"/>
            </a:ext>
          </a:extLst>
        </xdr:cNvPr>
        <xdr:cNvSpPr/>
      </xdr:nvSpPr>
      <xdr:spPr>
        <a:xfrm>
          <a:off x="990600" y="1162050"/>
          <a:ext cx="1250950" cy="501650"/>
        </a:xfrm>
        <a:prstGeom prst="roundRect">
          <a:avLst>
            <a:gd name="adj" fmla="val 50000"/>
          </a:avLst>
        </a:prstGeom>
        <a:scene3d>
          <a:camera prst="orthographicFront"/>
          <a:lightRig rig="threePt" dir="t"/>
        </a:scene3d>
        <a:sp3d>
          <a:bevelT/>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AR" sz="1200" b="1"/>
            <a:t>Clientes</a:t>
          </a:r>
        </a:p>
      </xdr:txBody>
    </xdr:sp>
    <xdr:clientData/>
  </xdr:twoCellAnchor>
  <xdr:twoCellAnchor>
    <xdr:from>
      <xdr:col>5</xdr:col>
      <xdr:colOff>92075</xdr:colOff>
      <xdr:row>0</xdr:row>
      <xdr:rowOff>28575</xdr:rowOff>
    </xdr:from>
    <xdr:to>
      <xdr:col>11</xdr:col>
      <xdr:colOff>320675</xdr:colOff>
      <xdr:row>4</xdr:row>
      <xdr:rowOff>28575</xdr:rowOff>
    </xdr:to>
    <xdr:sp macro="" textlink="">
      <xdr:nvSpPr>
        <xdr:cNvPr id="5" name="CuadroTexto 4">
          <a:extLst>
            <a:ext uri="{FF2B5EF4-FFF2-40B4-BE49-F238E27FC236}">
              <a16:creationId xmlns:a16="http://schemas.microsoft.com/office/drawing/2014/main" id="{20F90AA4-7120-A0DB-613D-96DEB1F1266C}"/>
            </a:ext>
          </a:extLst>
        </xdr:cNvPr>
        <xdr:cNvSpPr txBox="1"/>
      </xdr:nvSpPr>
      <xdr:spPr>
        <a:xfrm>
          <a:off x="2606675" y="28575"/>
          <a:ext cx="480060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200" b="1"/>
            <a:t>1) </a:t>
          </a:r>
          <a:r>
            <a:rPr lang="es-AR" sz="1100"/>
            <a:t>Lo primero que necesitamos es armar los vinculos de los </a:t>
          </a:r>
          <a:r>
            <a:rPr lang="es-AR" sz="1100" b="1">
              <a:solidFill>
                <a:srgbClr val="FF0000"/>
              </a:solidFill>
            </a:rPr>
            <a:t>botones</a:t>
          </a:r>
          <a:r>
            <a:rPr lang="es-AR" sz="1100"/>
            <a:t> a las distintas hojas que tenemos, de acuerdo a los nombres</a:t>
          </a:r>
          <a:r>
            <a:rPr lang="es-AR" sz="1100" baseline="0"/>
            <a:t> asignados. y el boton de volver a a este menu de cada hoja.</a:t>
          </a:r>
          <a:endParaRPr lang="es-AR" sz="1100"/>
        </a:p>
      </xdr:txBody>
    </xdr:sp>
    <xdr:clientData/>
  </xdr:twoCellAnchor>
  <xdr:twoCellAnchor>
    <xdr:from>
      <xdr:col>5</xdr:col>
      <xdr:colOff>104775</xdr:colOff>
      <xdr:row>4</xdr:row>
      <xdr:rowOff>101600</xdr:rowOff>
    </xdr:from>
    <xdr:to>
      <xdr:col>11</xdr:col>
      <xdr:colOff>333375</xdr:colOff>
      <xdr:row>7</xdr:row>
      <xdr:rowOff>123825</xdr:rowOff>
    </xdr:to>
    <xdr:sp macro="" textlink="">
      <xdr:nvSpPr>
        <xdr:cNvPr id="6" name="CuadroTexto 5">
          <a:extLst>
            <a:ext uri="{FF2B5EF4-FFF2-40B4-BE49-F238E27FC236}">
              <a16:creationId xmlns:a16="http://schemas.microsoft.com/office/drawing/2014/main" id="{0E6B547F-4812-51A7-1460-91A926D9547F}"/>
            </a:ext>
          </a:extLst>
        </xdr:cNvPr>
        <xdr:cNvSpPr txBox="1"/>
      </xdr:nvSpPr>
      <xdr:spPr>
        <a:xfrm>
          <a:off x="2619375" y="749300"/>
          <a:ext cx="4800600" cy="565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AR" sz="1200" b="1"/>
            <a:t>2) </a:t>
          </a:r>
          <a:r>
            <a:rPr lang="es-AR" sz="1100" b="0"/>
            <a:t>Tendremos</a:t>
          </a:r>
          <a:r>
            <a:rPr lang="es-AR" sz="1100" b="0" baseline="0"/>
            <a:t>, antes de poder generar la facturacion, armar lo pedido en la hoja de articulos.</a:t>
          </a:r>
          <a:endParaRPr lang="es-AR" sz="1100"/>
        </a:p>
      </xdr:txBody>
    </xdr:sp>
    <xdr:clientData/>
  </xdr:twoCellAnchor>
  <xdr:twoCellAnchor>
    <xdr:from>
      <xdr:col>5</xdr:col>
      <xdr:colOff>104775</xdr:colOff>
      <xdr:row>8</xdr:row>
      <xdr:rowOff>0</xdr:rowOff>
    </xdr:from>
    <xdr:to>
      <xdr:col>11</xdr:col>
      <xdr:colOff>333375</xdr:colOff>
      <xdr:row>19</xdr:row>
      <xdr:rowOff>104775</xdr:rowOff>
    </xdr:to>
    <xdr:sp macro="" textlink="">
      <xdr:nvSpPr>
        <xdr:cNvPr id="8" name="CuadroTexto 7">
          <a:extLst>
            <a:ext uri="{FF2B5EF4-FFF2-40B4-BE49-F238E27FC236}">
              <a16:creationId xmlns:a16="http://schemas.microsoft.com/office/drawing/2014/main" id="{9515FCFE-DDFD-9606-D79A-2555EBB8563C}"/>
            </a:ext>
          </a:extLst>
        </xdr:cNvPr>
        <xdr:cNvSpPr txBox="1"/>
      </xdr:nvSpPr>
      <xdr:spPr>
        <a:xfrm>
          <a:off x="2619375" y="1295400"/>
          <a:ext cx="4800600" cy="1885950"/>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3) </a:t>
          </a:r>
          <a:r>
            <a:rPr lang="es-AR" sz="1100">
              <a:solidFill>
                <a:schemeClr val="dk1"/>
              </a:solidFill>
              <a:effectLst/>
              <a:latin typeface="+mn-lt"/>
              <a:ea typeface="+mn-ea"/>
              <a:cs typeface="+mn-cs"/>
            </a:rPr>
            <a:t>En Facturación tendremos que armar una lista desplegadle del código del Cliente en la Celda </a:t>
          </a:r>
          <a:r>
            <a:rPr lang="es-AR" sz="1100" b="1">
              <a:solidFill>
                <a:srgbClr val="FF0000"/>
              </a:solidFill>
              <a:effectLst/>
              <a:latin typeface="+mn-lt"/>
              <a:ea typeface="+mn-ea"/>
              <a:cs typeface="+mn-cs"/>
            </a:rPr>
            <a:t>C3</a:t>
          </a:r>
          <a:r>
            <a:rPr lang="es-AR" sz="1100">
              <a:solidFill>
                <a:schemeClr val="dk1"/>
              </a:solidFill>
              <a:effectLst/>
              <a:latin typeface="+mn-lt"/>
              <a:ea typeface="+mn-ea"/>
              <a:cs typeface="+mn-cs"/>
            </a:rPr>
            <a:t>, luego tendrás que completar todos los datos que refieren al cliente, en donde se indica en la factura.</a:t>
          </a:r>
        </a:p>
        <a:p>
          <a:r>
            <a:rPr lang="es-AR" sz="1100">
              <a:solidFill>
                <a:schemeClr val="dk1"/>
              </a:solidFill>
              <a:effectLst/>
              <a:latin typeface="+mn-lt"/>
              <a:ea typeface="+mn-ea"/>
              <a:cs typeface="+mn-cs"/>
            </a:rPr>
            <a:t>Fijarse que en la celda E18 de la factura, tendra que salir el descuento que tiene asgnado ese cliente en particular, para ser calculado. Tambien deberas calcular el 1er subtotal, que sera la sumatoria, de todos</a:t>
          </a:r>
          <a:r>
            <a:rPr lang="es-AR" sz="1100" baseline="0">
              <a:solidFill>
                <a:schemeClr val="dk1"/>
              </a:solidFill>
              <a:effectLst/>
              <a:latin typeface="+mn-lt"/>
              <a:ea typeface="+mn-ea"/>
              <a:cs typeface="+mn-cs"/>
            </a:rPr>
            <a:t> los totales de linea. el 2do subtotal, esta dado por la diferencia entre el 1er subtotal y el descuento, luego calcular el 21% de iva y por ultimo, sumar ese iva con el subtotal anterior para tener el total factura o total General de la factura.</a:t>
          </a:r>
          <a:endParaRPr lang="es-AR" sz="1100">
            <a:solidFill>
              <a:schemeClr val="dk1"/>
            </a:solidFill>
            <a:effectLst/>
            <a:latin typeface="+mn-lt"/>
            <a:ea typeface="+mn-ea"/>
            <a:cs typeface="+mn-cs"/>
          </a:endParaRPr>
        </a:p>
        <a:p>
          <a:endParaRPr lang="es-AR" sz="1100">
            <a:solidFill>
              <a:schemeClr val="dk1"/>
            </a:solidFill>
            <a:effectLst/>
            <a:latin typeface="+mn-lt"/>
            <a:ea typeface="+mn-ea"/>
            <a:cs typeface="+mn-cs"/>
          </a:endParaRPr>
        </a:p>
      </xdr:txBody>
    </xdr:sp>
    <xdr:clientData/>
  </xdr:twoCellAnchor>
  <xdr:twoCellAnchor>
    <xdr:from>
      <xdr:col>5</xdr:col>
      <xdr:colOff>85725</xdr:colOff>
      <xdr:row>20</xdr:row>
      <xdr:rowOff>6350</xdr:rowOff>
    </xdr:from>
    <xdr:to>
      <xdr:col>11</xdr:col>
      <xdr:colOff>314325</xdr:colOff>
      <xdr:row>24</xdr:row>
      <xdr:rowOff>161925</xdr:rowOff>
    </xdr:to>
    <xdr:sp macro="" textlink="">
      <xdr:nvSpPr>
        <xdr:cNvPr id="9" name="CuadroTexto 8">
          <a:extLst>
            <a:ext uri="{FF2B5EF4-FFF2-40B4-BE49-F238E27FC236}">
              <a16:creationId xmlns:a16="http://schemas.microsoft.com/office/drawing/2014/main" id="{60B7BE89-18D7-DFB5-73DE-6119C0C77FFD}"/>
            </a:ext>
          </a:extLst>
        </xdr:cNvPr>
        <xdr:cNvSpPr txBox="1"/>
      </xdr:nvSpPr>
      <xdr:spPr>
        <a:xfrm>
          <a:off x="2600325" y="3244850"/>
          <a:ext cx="4800600" cy="97472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4) </a:t>
          </a:r>
          <a:r>
            <a:rPr lang="es-AR" sz="1100">
              <a:solidFill>
                <a:schemeClr val="dk1"/>
              </a:solidFill>
              <a:effectLst/>
              <a:latin typeface="+mn-lt"/>
              <a:ea typeface="+mn-ea"/>
              <a:cs typeface="+mn-cs"/>
            </a:rPr>
            <a:t>Tendras que poner la fecha actual en </a:t>
          </a:r>
          <a:r>
            <a:rPr lang="es-AR" sz="1100" b="1">
              <a:solidFill>
                <a:srgbClr val="FF0000"/>
              </a:solidFill>
              <a:effectLst/>
              <a:latin typeface="+mn-lt"/>
              <a:ea typeface="+mn-ea"/>
              <a:cs typeface="+mn-cs"/>
            </a:rPr>
            <a:t>F2</a:t>
          </a:r>
          <a:r>
            <a:rPr lang="es-AR" sz="1100" baseline="0">
              <a:solidFill>
                <a:schemeClr val="dk1"/>
              </a:solidFill>
              <a:effectLst/>
              <a:latin typeface="+mn-lt"/>
              <a:ea typeface="+mn-ea"/>
              <a:cs typeface="+mn-cs"/>
            </a:rPr>
            <a:t> y luego conformar el numero de factura y la sucursal segun muestra </a:t>
          </a:r>
          <a:r>
            <a:rPr lang="es-AR" sz="1100" b="1" baseline="0">
              <a:solidFill>
                <a:srgbClr val="FF0000"/>
              </a:solidFill>
              <a:effectLst/>
              <a:latin typeface="+mn-lt"/>
              <a:ea typeface="+mn-ea"/>
              <a:cs typeface="+mn-cs"/>
            </a:rPr>
            <a:t>0001-00000008, </a:t>
          </a:r>
          <a:r>
            <a:rPr lang="es-AR" sz="1100" b="0" baseline="0">
              <a:solidFill>
                <a:sysClr val="windowText" lastClr="000000"/>
              </a:solidFill>
              <a:effectLst/>
              <a:latin typeface="+mn-lt"/>
              <a:ea typeface="+mn-ea"/>
              <a:cs typeface="+mn-cs"/>
            </a:rPr>
            <a:t>estos valores se deben encontrar ocultos en la celda </a:t>
          </a:r>
          <a:r>
            <a:rPr lang="es-AR" sz="1100" b="1" baseline="0">
              <a:solidFill>
                <a:srgbClr val="FF0000"/>
              </a:solidFill>
              <a:effectLst/>
              <a:latin typeface="+mn-lt"/>
              <a:ea typeface="+mn-ea"/>
              <a:cs typeface="+mn-cs"/>
            </a:rPr>
            <a:t>AG17 y AH17, luego de su uso.</a:t>
          </a:r>
          <a:br>
            <a:rPr lang="es-AR" sz="1100" b="1" baseline="0">
              <a:solidFill>
                <a:srgbClr val="FF0000"/>
              </a:solidFill>
              <a:effectLst/>
              <a:latin typeface="+mn-lt"/>
              <a:ea typeface="+mn-ea"/>
              <a:cs typeface="+mn-cs"/>
            </a:rPr>
          </a:br>
          <a:r>
            <a:rPr lang="es-AR" sz="1100" b="1" baseline="0">
              <a:solidFill>
                <a:srgbClr val="FF0000"/>
              </a:solidFill>
              <a:effectLst/>
              <a:latin typeface="+mn-lt"/>
              <a:ea typeface="+mn-ea"/>
              <a:cs typeface="+mn-cs"/>
            </a:rPr>
            <a:t>Este valor , como muestra el ejemplo se debe ver reflejado en la celda D2</a:t>
          </a:r>
        </a:p>
        <a:p>
          <a:endParaRPr lang="es-AR" sz="1100" b="1">
            <a:solidFill>
              <a:srgbClr val="FF0000"/>
            </a:solidFill>
            <a:effectLst/>
            <a:latin typeface="+mn-lt"/>
            <a:ea typeface="+mn-ea"/>
            <a:cs typeface="+mn-cs"/>
          </a:endParaRPr>
        </a:p>
      </xdr:txBody>
    </xdr:sp>
    <xdr:clientData/>
  </xdr:twoCellAnchor>
  <xdr:twoCellAnchor>
    <xdr:from>
      <xdr:col>11</xdr:col>
      <xdr:colOff>377825</xdr:colOff>
      <xdr:row>0</xdr:row>
      <xdr:rowOff>38100</xdr:rowOff>
    </xdr:from>
    <xdr:to>
      <xdr:col>17</xdr:col>
      <xdr:colOff>606425</xdr:colOff>
      <xdr:row>5</xdr:row>
      <xdr:rowOff>95250</xdr:rowOff>
    </xdr:to>
    <xdr:sp macro="" textlink="">
      <xdr:nvSpPr>
        <xdr:cNvPr id="10" name="CuadroTexto 9">
          <a:extLst>
            <a:ext uri="{FF2B5EF4-FFF2-40B4-BE49-F238E27FC236}">
              <a16:creationId xmlns:a16="http://schemas.microsoft.com/office/drawing/2014/main" id="{301C052D-3BF9-E788-1621-FD0842B55758}"/>
            </a:ext>
          </a:extLst>
        </xdr:cNvPr>
        <xdr:cNvSpPr txBox="1"/>
      </xdr:nvSpPr>
      <xdr:spPr>
        <a:xfrm>
          <a:off x="7464425" y="38100"/>
          <a:ext cx="4800600" cy="86677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5) </a:t>
          </a:r>
          <a:r>
            <a:rPr lang="es-AR" sz="1100">
              <a:solidFill>
                <a:schemeClr val="dk1"/>
              </a:solidFill>
              <a:effectLst/>
              <a:latin typeface="+mn-lt"/>
              <a:ea typeface="+mn-ea"/>
              <a:cs typeface="+mn-cs"/>
            </a:rPr>
            <a:t>Para Generar la facturación, el usuario deberá colocar el código de articulo y la cantidad, con el podrá traer, el detalle, el precio unitario y calcular el precio total.</a:t>
          </a:r>
        </a:p>
        <a:p>
          <a:r>
            <a:rPr lang="es-AR" sz="1100">
              <a:solidFill>
                <a:schemeClr val="dk1"/>
              </a:solidFill>
              <a:effectLst/>
              <a:latin typeface="+mn-lt"/>
              <a:ea typeface="+mn-ea"/>
              <a:cs typeface="+mn-cs"/>
            </a:rPr>
            <a:t>No pueden quedar errores en la factura y no es necesario llenar todos los ítems de la factura, ya que el cliente puede solo comprar una sola cosa y nada más.</a:t>
          </a:r>
        </a:p>
        <a:p>
          <a:endParaRPr lang="es-AR" sz="1100" b="1">
            <a:solidFill>
              <a:srgbClr val="FF0000"/>
            </a:solidFill>
            <a:effectLst/>
            <a:latin typeface="+mn-lt"/>
            <a:ea typeface="+mn-ea"/>
            <a:cs typeface="+mn-cs"/>
          </a:endParaRPr>
        </a:p>
      </xdr:txBody>
    </xdr:sp>
    <xdr:clientData/>
  </xdr:twoCellAnchor>
  <xdr:twoCellAnchor>
    <xdr:from>
      <xdr:col>11</xdr:col>
      <xdr:colOff>387350</xdr:colOff>
      <xdr:row>6</xdr:row>
      <xdr:rowOff>3175</xdr:rowOff>
    </xdr:from>
    <xdr:to>
      <xdr:col>17</xdr:col>
      <xdr:colOff>615950</xdr:colOff>
      <xdr:row>8</xdr:row>
      <xdr:rowOff>152401</xdr:rowOff>
    </xdr:to>
    <xdr:sp macro="" textlink="">
      <xdr:nvSpPr>
        <xdr:cNvPr id="11" name="CuadroTexto 10">
          <a:extLst>
            <a:ext uri="{FF2B5EF4-FFF2-40B4-BE49-F238E27FC236}">
              <a16:creationId xmlns:a16="http://schemas.microsoft.com/office/drawing/2014/main" id="{7FAF2886-159D-3C69-2B41-3B09C4482F57}"/>
            </a:ext>
          </a:extLst>
        </xdr:cNvPr>
        <xdr:cNvSpPr txBox="1"/>
      </xdr:nvSpPr>
      <xdr:spPr>
        <a:xfrm>
          <a:off x="7473950" y="974725"/>
          <a:ext cx="4800600" cy="473076"/>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6) </a:t>
          </a:r>
          <a:r>
            <a:rPr lang="es-AR" sz="1100">
              <a:solidFill>
                <a:schemeClr val="dk1"/>
              </a:solidFill>
              <a:effectLst/>
              <a:latin typeface="+mn-lt"/>
              <a:ea typeface="+mn-ea"/>
              <a:cs typeface="+mn-cs"/>
            </a:rPr>
            <a:t>Deberas Proteger todas las celdas que poseen Formulas, y dejar liberadas las que el usuario utiliza para ingresar datos.</a:t>
          </a:r>
        </a:p>
        <a:p>
          <a:endParaRPr lang="es-AR" sz="1100" b="1">
            <a:solidFill>
              <a:srgbClr val="FF0000"/>
            </a:solidFill>
            <a:effectLst/>
            <a:latin typeface="+mn-lt"/>
            <a:ea typeface="+mn-ea"/>
            <a:cs typeface="+mn-cs"/>
          </a:endParaRPr>
        </a:p>
      </xdr:txBody>
    </xdr:sp>
    <xdr:clientData/>
  </xdr:twoCellAnchor>
  <xdr:twoCellAnchor>
    <xdr:from>
      <xdr:col>11</xdr:col>
      <xdr:colOff>396875</xdr:colOff>
      <xdr:row>9</xdr:row>
      <xdr:rowOff>66674</xdr:rowOff>
    </xdr:from>
    <xdr:to>
      <xdr:col>17</xdr:col>
      <xdr:colOff>625475</xdr:colOff>
      <xdr:row>12</xdr:row>
      <xdr:rowOff>44450</xdr:rowOff>
    </xdr:to>
    <xdr:sp macro="" textlink="">
      <xdr:nvSpPr>
        <xdr:cNvPr id="7" name="CuadroTexto 6">
          <a:extLst>
            <a:ext uri="{FF2B5EF4-FFF2-40B4-BE49-F238E27FC236}">
              <a16:creationId xmlns:a16="http://schemas.microsoft.com/office/drawing/2014/main" id="{8788258C-822C-1256-E5B7-AD7938B25DF0}"/>
            </a:ext>
          </a:extLst>
        </xdr:cNvPr>
        <xdr:cNvSpPr txBox="1"/>
      </xdr:nvSpPr>
      <xdr:spPr>
        <a:xfrm>
          <a:off x="7483475" y="1523999"/>
          <a:ext cx="4800600"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7) </a:t>
          </a:r>
          <a:r>
            <a:rPr lang="es-AR" sz="1100" b="0">
              <a:solidFill>
                <a:schemeClr val="dk1"/>
              </a:solidFill>
              <a:effectLst/>
              <a:latin typeface="+mn-lt"/>
              <a:ea typeface="+mn-ea"/>
              <a:cs typeface="+mn-cs"/>
            </a:rPr>
            <a:t>Deberas</a:t>
          </a:r>
          <a:r>
            <a:rPr lang="es-AR" sz="1100" b="0" baseline="0">
              <a:solidFill>
                <a:schemeClr val="dk1"/>
              </a:solidFill>
              <a:effectLst/>
              <a:latin typeface="+mn-lt"/>
              <a:ea typeface="+mn-ea"/>
              <a:cs typeface="+mn-cs"/>
            </a:rPr>
            <a:t> armar un boton, para limpiar todos los campos , que no contengan formulas, cuestion que la facturacion quede limpia si se lo requiere.</a:t>
          </a:r>
          <a:endParaRPr lang="es-AR" sz="1100" b="1">
            <a:solidFill>
              <a:srgbClr val="FF0000"/>
            </a:solidFill>
            <a:effectLst/>
            <a:latin typeface="+mn-lt"/>
            <a:ea typeface="+mn-ea"/>
            <a:cs typeface="+mn-cs"/>
          </a:endParaRPr>
        </a:p>
      </xdr:txBody>
    </xdr:sp>
    <xdr:clientData/>
  </xdr:twoCellAnchor>
  <xdr:twoCellAnchor>
    <xdr:from>
      <xdr:col>11</xdr:col>
      <xdr:colOff>387350</xdr:colOff>
      <xdr:row>12</xdr:row>
      <xdr:rowOff>126999</xdr:rowOff>
    </xdr:from>
    <xdr:to>
      <xdr:col>17</xdr:col>
      <xdr:colOff>615950</xdr:colOff>
      <xdr:row>15</xdr:row>
      <xdr:rowOff>104775</xdr:rowOff>
    </xdr:to>
    <xdr:sp macro="" textlink="">
      <xdr:nvSpPr>
        <xdr:cNvPr id="12" name="CuadroTexto 11">
          <a:extLst>
            <a:ext uri="{FF2B5EF4-FFF2-40B4-BE49-F238E27FC236}">
              <a16:creationId xmlns:a16="http://schemas.microsoft.com/office/drawing/2014/main" id="{A711A056-C417-FF01-71D6-4CE9BCCEF3C5}"/>
            </a:ext>
          </a:extLst>
        </xdr:cNvPr>
        <xdr:cNvSpPr txBox="1"/>
      </xdr:nvSpPr>
      <xdr:spPr>
        <a:xfrm>
          <a:off x="7473950" y="2070099"/>
          <a:ext cx="4800600"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8) </a:t>
          </a:r>
          <a:r>
            <a:rPr lang="es-AR" sz="1100" b="0">
              <a:solidFill>
                <a:schemeClr val="dk1"/>
              </a:solidFill>
              <a:effectLst/>
              <a:latin typeface="+mn-lt"/>
              <a:ea typeface="+mn-ea"/>
              <a:cs typeface="+mn-cs"/>
            </a:rPr>
            <a:t>Deberas habilitar un boton </a:t>
          </a:r>
          <a:r>
            <a:rPr lang="es-AR" sz="1100" b="1">
              <a:solidFill>
                <a:schemeClr val="dk1"/>
              </a:solidFill>
              <a:effectLst/>
              <a:latin typeface="+mn-lt"/>
              <a:ea typeface="+mn-ea"/>
              <a:cs typeface="+mn-cs"/>
            </a:rPr>
            <a:t>GRABAR</a:t>
          </a:r>
          <a:r>
            <a:rPr lang="es-AR" sz="1100" b="0" baseline="0">
              <a:solidFill>
                <a:schemeClr val="dk1"/>
              </a:solidFill>
              <a:effectLst/>
              <a:latin typeface="+mn-lt"/>
              <a:ea typeface="+mn-ea"/>
              <a:cs typeface="+mn-cs"/>
            </a:rPr>
            <a:t>. el cual debera actualizar la tabla que esta en registro de facturas, e incrementar el valor del </a:t>
          </a:r>
          <a:r>
            <a:rPr lang="es-AR" sz="1100" b="1" baseline="0">
              <a:solidFill>
                <a:schemeClr val="dk1"/>
              </a:solidFill>
              <a:effectLst/>
              <a:latin typeface="+mn-lt"/>
              <a:ea typeface="+mn-ea"/>
              <a:cs typeface="+mn-cs"/>
            </a:rPr>
            <a:t>contador de facturas en 1</a:t>
          </a:r>
          <a:endParaRPr lang="es-AR" sz="1100" b="1">
            <a:solidFill>
              <a:srgbClr val="FF0000"/>
            </a:solidFill>
            <a:effectLst/>
            <a:latin typeface="+mn-lt"/>
            <a:ea typeface="+mn-ea"/>
            <a:cs typeface="+mn-cs"/>
          </a:endParaRPr>
        </a:p>
      </xdr:txBody>
    </xdr:sp>
    <xdr:clientData/>
  </xdr:twoCellAnchor>
  <xdr:twoCellAnchor>
    <xdr:from>
      <xdr:col>11</xdr:col>
      <xdr:colOff>371475</xdr:colOff>
      <xdr:row>16</xdr:row>
      <xdr:rowOff>38099</xdr:rowOff>
    </xdr:from>
    <xdr:to>
      <xdr:col>17</xdr:col>
      <xdr:colOff>654050</xdr:colOff>
      <xdr:row>19</xdr:row>
      <xdr:rowOff>15875</xdr:rowOff>
    </xdr:to>
    <xdr:sp macro="" textlink="">
      <xdr:nvSpPr>
        <xdr:cNvPr id="13" name="CuadroTexto 12">
          <a:extLst>
            <a:ext uri="{FF2B5EF4-FFF2-40B4-BE49-F238E27FC236}">
              <a16:creationId xmlns:a16="http://schemas.microsoft.com/office/drawing/2014/main" id="{49FB66E8-E2CA-98DC-5461-F33AFF832D98}"/>
            </a:ext>
          </a:extLst>
        </xdr:cNvPr>
        <xdr:cNvSpPr txBox="1"/>
      </xdr:nvSpPr>
      <xdr:spPr>
        <a:xfrm>
          <a:off x="7458075" y="2628899"/>
          <a:ext cx="4854575"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9) </a:t>
          </a:r>
          <a:r>
            <a:rPr lang="es-AR" sz="1100" b="0">
              <a:solidFill>
                <a:schemeClr val="dk1"/>
              </a:solidFill>
              <a:effectLst/>
              <a:latin typeface="+mn-lt"/>
              <a:ea typeface="+mn-ea"/>
              <a:cs typeface="+mn-cs"/>
            </a:rPr>
            <a:t>Si te es posible estaria interesante que actualice el stock de Productos</a:t>
          </a:r>
          <a:endParaRPr lang="es-AR" sz="1100" b="0">
            <a:solidFill>
              <a:srgbClr val="FF0000"/>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771525</xdr:colOff>
      <xdr:row>3</xdr:row>
      <xdr:rowOff>142876</xdr:rowOff>
    </xdr:from>
    <xdr:to>
      <xdr:col>6</xdr:col>
      <xdr:colOff>771525</xdr:colOff>
      <xdr:row>4</xdr:row>
      <xdr:rowOff>123826</xdr:rowOff>
    </xdr:to>
    <xdr:sp macro="" textlink="">
      <xdr:nvSpPr>
        <xdr:cNvPr id="2" name="Rectángulo: esquinas redondeadas 1">
          <a:extLst>
            <a:ext uri="{FF2B5EF4-FFF2-40B4-BE49-F238E27FC236}">
              <a16:creationId xmlns:a16="http://schemas.microsoft.com/office/drawing/2014/main" id="{B2F9EC04-442C-4D80-A30A-140E686A8D64}"/>
            </a:ext>
          </a:extLst>
        </xdr:cNvPr>
        <xdr:cNvSpPr/>
      </xdr:nvSpPr>
      <xdr:spPr>
        <a:xfrm>
          <a:off x="6172200" y="685801"/>
          <a:ext cx="1400175" cy="22860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Volver al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215900</xdr:colOff>
      <xdr:row>1</xdr:row>
      <xdr:rowOff>120650</xdr:rowOff>
    </xdr:to>
    <xdr:sp macro="" textlink="">
      <xdr:nvSpPr>
        <xdr:cNvPr id="2" name="Rectángulo: esquinas redondeadas 1">
          <a:extLst>
            <a:ext uri="{FF2B5EF4-FFF2-40B4-BE49-F238E27FC236}">
              <a16:creationId xmlns:a16="http://schemas.microsoft.com/office/drawing/2014/main" id="{3760CD53-EF3F-40B2-8CF1-4F0814FEA9D7}"/>
            </a:ext>
          </a:extLst>
        </xdr:cNvPr>
        <xdr:cNvSpPr/>
      </xdr:nvSpPr>
      <xdr:spPr>
        <a:xfrm>
          <a:off x="5727700" y="0"/>
          <a:ext cx="1403350" cy="28575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Volver al Menu</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_stock" displayName="Tabla_stock" ref="A6:G26" totalsRowShown="0" headerRowDxfId="40" dataDxfId="38" headerRowBorderDxfId="39" tableBorderDxfId="37" totalsRowBorderDxfId="36">
  <tableColumns count="7">
    <tableColumn id="1" xr3:uid="{00000000-0010-0000-0000-000001000000}" name="Código" dataDxfId="35"/>
    <tableColumn id="2" xr3:uid="{00000000-0010-0000-0000-000002000000}" name="Descripción" dataDxfId="34"/>
    <tableColumn id="3" xr3:uid="{00000000-0010-0000-0000-000003000000}" name="Costo $" dataDxfId="33" dataCellStyle="Moneda"/>
    <tableColumn id="4" xr3:uid="{00000000-0010-0000-0000-000004000000}" name="Cod_Origen" dataDxfId="32"/>
    <tableColumn id="7" xr3:uid="{D0B81EF4-CC96-4972-8FD1-10E84A3DB294}" name="Origen" dataDxfId="31"/>
    <tableColumn id="5" xr3:uid="{00000000-0010-0000-0000-000005000000}" name="Precio venta" dataDxfId="30" dataCellStyle="Moneda"/>
    <tableColumn id="6" xr3:uid="{00000000-0010-0000-0000-000006000000}" name="stock" dataDxfId="2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A4D3A3-2A23-4C13-86BF-4DA22A304C64}" name="Tabla_Origen" displayName="Tabla_Origen" ref="N6:O14" totalsRowShown="0" headerRowDxfId="28" headerRowBorderDxfId="27" tableBorderDxfId="26">
  <autoFilter ref="N6:O14" xr:uid="{7FA4D3A3-2A23-4C13-86BF-4DA22A304C64}"/>
  <tableColumns count="2">
    <tableColumn id="1" xr3:uid="{AE964357-4A55-427E-995C-2086C4A15E46}" name="codigo" dataDxfId="25"/>
    <tableColumn id="2" xr3:uid="{83659F1B-22D2-4C70-B83E-4642832340DD}" name="Origen" dataDxfId="24"/>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_clientes" displayName="Tabla_clientes" ref="A3:G14" totalsRowShown="0" headerRowDxfId="23" dataDxfId="21" headerRowBorderDxfId="22" tableBorderDxfId="20" totalsRowBorderDxfId="19">
  <autoFilter ref="A3:G14" xr:uid="{00000000-0009-0000-0100-000002000000}"/>
  <tableColumns count="7">
    <tableColumn id="1" xr3:uid="{00000000-0010-0000-0100-000001000000}" name="CÓDIGO " dataDxfId="18"/>
    <tableColumn id="2" xr3:uid="{00000000-0010-0000-0100-000002000000}" name="EMPRESA" dataDxfId="17"/>
    <tableColumn id="3" xr3:uid="{00000000-0010-0000-0100-000003000000}" name="NOMBRE" dataDxfId="16"/>
    <tableColumn id="4" xr3:uid="{00000000-0010-0000-0100-000004000000}" name="APELLIDO" dataDxfId="15"/>
    <tableColumn id="5" xr3:uid="{00000000-0010-0000-0100-000005000000}" name="HORARIO" dataDxfId="14"/>
    <tableColumn id="6" xr3:uid="{00000000-0010-0000-0100-000006000000}" name="DIRECCIÓN" dataDxfId="13"/>
    <tableColumn id="7" xr3:uid="{00000000-0010-0000-0100-000007000000}" name="Tipo de descuento" dataDxfId="1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_descuento" displayName="Tabla_descuento" ref="J3:K7" totalsRowShown="0" headerRowDxfId="11" dataDxfId="10">
  <autoFilter ref="J3:K7" xr:uid="{00000000-0009-0000-0100-000003000000}"/>
  <tableColumns count="2">
    <tableColumn id="1" xr3:uid="{00000000-0010-0000-0200-000001000000}" name="Tipo de Descuento" dataDxfId="9" dataCellStyle="Millares"/>
    <tableColumn id="2" xr3:uid="{00000000-0010-0000-0200-000002000000}" name="descuentos" dataDxfId="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5B0DF76-3F71-4192-8ECB-F3655F64A122}" name="Tabla_Resumen" displayName="Tabla_Resumen" ref="A1:F12" totalsRowShown="0" headerRowDxfId="7" dataDxfId="6">
  <autoFilter ref="A1:F12" xr:uid="{65B0DF76-3F71-4192-8ECB-F3655F64A122}"/>
  <tableColumns count="6">
    <tableColumn id="1" xr3:uid="{560A7F4C-CBB4-47CE-BA8C-4D2C2AEA0E26}" name="N° Factura" dataDxfId="5"/>
    <tableColumn id="2" xr3:uid="{E0E4CBC4-0703-4828-A3B4-B42B63F8DF0C}" name="Cliente" dataDxfId="4"/>
    <tableColumn id="3" xr3:uid="{F39A6E05-A7AA-4338-A851-6348DA866EC3}" name="Fecha" dataDxfId="3"/>
    <tableColumn id="4" xr3:uid="{1BC8ABD1-8221-4752-9E95-8AAFB9FE4C57}" name="Subtotal" dataDxfId="2"/>
    <tableColumn id="5" xr3:uid="{0D71E904-3695-4197-9155-237FFE734673}" name="Subtotal Con Dto" dataDxfId="1"/>
    <tableColumn id="7" xr3:uid="{F8917205-A87F-4957-BD7F-BF312E822EF0}" name="Total"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5.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22C5-A9B0-4752-82EE-01F202EE6DB6}">
  <sheetPr codeName="Hoja5"/>
  <dimension ref="B2:I31"/>
  <sheetViews>
    <sheetView showGridLines="0" zoomScale="120" zoomScaleNormal="120" workbookViewId="0">
      <selection activeCell="D23" sqref="D23"/>
    </sheetView>
  </sheetViews>
  <sheetFormatPr baseColWidth="10" defaultRowHeight="12.5"/>
  <cols>
    <col min="2" max="2" width="2.453125" customWidth="1"/>
    <col min="3" max="3" width="8.36328125" customWidth="1"/>
    <col min="5" max="5" width="3.36328125" customWidth="1"/>
  </cols>
  <sheetData>
    <row r="2" spans="2:5" ht="13" thickBot="1"/>
    <row r="3" spans="2:5">
      <c r="B3" s="75"/>
      <c r="C3" s="76"/>
      <c r="D3" s="76"/>
      <c r="E3" s="77"/>
    </row>
    <row r="4" spans="2:5">
      <c r="B4" s="78"/>
      <c r="E4" s="79"/>
    </row>
    <row r="5" spans="2:5">
      <c r="B5" s="78"/>
      <c r="E5" s="79"/>
    </row>
    <row r="6" spans="2:5">
      <c r="B6" s="78"/>
      <c r="E6" s="79"/>
    </row>
    <row r="7" spans="2:5">
      <c r="B7" s="78"/>
      <c r="E7" s="79"/>
    </row>
    <row r="8" spans="2:5">
      <c r="B8" s="78"/>
      <c r="E8" s="79"/>
    </row>
    <row r="9" spans="2:5">
      <c r="B9" s="78"/>
      <c r="E9" s="79"/>
    </row>
    <row r="10" spans="2:5">
      <c r="B10" s="78"/>
      <c r="E10" s="79"/>
    </row>
    <row r="11" spans="2:5">
      <c r="B11" s="78"/>
      <c r="E11" s="79"/>
    </row>
    <row r="12" spans="2:5">
      <c r="B12" s="78"/>
      <c r="E12" s="79"/>
    </row>
    <row r="13" spans="2:5">
      <c r="B13" s="78"/>
      <c r="E13" s="79"/>
    </row>
    <row r="14" spans="2:5">
      <c r="B14" s="78"/>
      <c r="E14" s="79"/>
    </row>
    <row r="15" spans="2:5">
      <c r="B15" s="78"/>
      <c r="E15" s="79"/>
    </row>
    <row r="16" spans="2:5" ht="13" thickBot="1">
      <c r="B16" s="80"/>
      <c r="C16" s="81"/>
      <c r="D16" s="81"/>
      <c r="E16" s="82"/>
    </row>
    <row r="22" spans="9:9" ht="17.5">
      <c r="I22" s="69"/>
    </row>
    <row r="23" spans="9:9" ht="17.5">
      <c r="I23" s="69"/>
    </row>
    <row r="24" spans="9:9" ht="17.5">
      <c r="I24" s="69"/>
    </row>
    <row r="25" spans="9:9" ht="17.5">
      <c r="I25" s="69"/>
    </row>
    <row r="26" spans="9:9" ht="17.5">
      <c r="I26" s="69"/>
    </row>
    <row r="27" spans="9:9" ht="17.5">
      <c r="I27" s="69"/>
    </row>
    <row r="28" spans="9:9" ht="17.5">
      <c r="I28" s="69"/>
    </row>
    <row r="29" spans="9:9" ht="18">
      <c r="I29" s="70"/>
    </row>
    <row r="30" spans="9:9" ht="18">
      <c r="I30" s="70"/>
    </row>
    <row r="31" spans="9:9" ht="18">
      <c r="I31" s="7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XFD1048576"/>
  <sheetViews>
    <sheetView showGridLines="0" zoomScale="90" zoomScaleNormal="90" workbookViewId="0">
      <selection activeCell="K8" sqref="K8"/>
    </sheetView>
  </sheetViews>
  <sheetFormatPr baseColWidth="10" defaultColWidth="11.453125" defaultRowHeight="12.5"/>
  <cols>
    <col min="2" max="2" width="11" customWidth="1"/>
    <col min="3" max="3" width="12.08984375" bestFit="1" customWidth="1"/>
    <col min="4" max="4" width="37.90625" customWidth="1"/>
    <col min="5" max="5" width="21.453125" bestFit="1" customWidth="1"/>
    <col min="6" max="6" width="35.54296875" bestFit="1" customWidth="1"/>
    <col min="7" max="7" width="21.453125" customWidth="1"/>
    <col min="8" max="10" width="21.453125" hidden="1" customWidth="1"/>
    <col min="11" max="11" width="14.36328125" bestFit="1" customWidth="1"/>
  </cols>
  <sheetData>
    <row r="1" spans="2:34 16384:16384" ht="13" thickBot="1">
      <c r="XFD1">
        <v>10</v>
      </c>
    </row>
    <row r="2" spans="2:34 16384:16384" ht="25.5" thickBot="1">
      <c r="B2" s="18" t="s">
        <v>0</v>
      </c>
      <c r="C2" s="19"/>
      <c r="D2" s="41" t="str">
        <f>CONCATENATE(C50,D50)</f>
        <v/>
      </c>
      <c r="E2" s="83" t="s">
        <v>1</v>
      </c>
      <c r="F2" s="62"/>
      <c r="I2" t="e">
        <f>VLOOKUP(C3,clientes,7,FALSE)</f>
        <v>#NAME?</v>
      </c>
    </row>
    <row r="3" spans="2:34 16384:16384" ht="17.149999999999999" customHeight="1" thickBot="1">
      <c r="B3" s="20" t="s">
        <v>2</v>
      </c>
      <c r="C3" s="74" t="s">
        <v>3</v>
      </c>
      <c r="D3" s="17"/>
      <c r="E3" s="21"/>
      <c r="F3" s="22"/>
    </row>
    <row r="4" spans="2:34 16384:16384" ht="17.149999999999999" customHeight="1" thickBot="1">
      <c r="B4" s="20" t="s">
        <v>4</v>
      </c>
      <c r="C4" s="85"/>
      <c r="D4" s="86"/>
      <c r="E4" s="21"/>
      <c r="F4" s="23"/>
    </row>
    <row r="5" spans="2:34 16384:16384" ht="17.149999999999999" customHeight="1" thickBot="1">
      <c r="B5" s="24"/>
      <c r="C5" s="87"/>
      <c r="D5" s="87"/>
      <c r="E5" s="25"/>
      <c r="F5" s="26"/>
    </row>
    <row r="6" spans="2:34 16384:16384" ht="17.149999999999999" customHeight="1">
      <c r="B6" s="27" t="s">
        <v>5</v>
      </c>
      <c r="C6" s="27" t="s">
        <v>6</v>
      </c>
      <c r="D6" s="27" t="s">
        <v>7</v>
      </c>
      <c r="E6" s="27" t="s">
        <v>8</v>
      </c>
      <c r="F6" s="27" t="s">
        <v>9</v>
      </c>
      <c r="Q6" s="13"/>
    </row>
    <row r="7" spans="2:34 16384:16384" ht="17.149999999999999" customHeight="1">
      <c r="B7" s="28"/>
      <c r="C7" s="29"/>
      <c r="D7" s="16"/>
      <c r="E7" s="39"/>
      <c r="F7" s="40"/>
      <c r="H7" t="e">
        <f t="shared" ref="H7:H16" si="0">VLOOKUP(C7,articulos,5,FALSE)</f>
        <v>#NAME?</v>
      </c>
      <c r="I7" t="e">
        <f t="shared" ref="I7:I16" si="1">VLOOKUP(C7,articulos,2,FALSE)</f>
        <v>#NAME?</v>
      </c>
      <c r="J7" t="b">
        <f>ISERROR(I7)</f>
        <v>1</v>
      </c>
    </row>
    <row r="8" spans="2:34 16384:16384" ht="17.149999999999999" customHeight="1">
      <c r="B8" s="28"/>
      <c r="C8" s="29"/>
      <c r="D8" s="16"/>
      <c r="E8" s="39"/>
      <c r="F8" s="40"/>
      <c r="H8" t="e">
        <f>VLOOKUP(C8,articulos,5,FALSE)</f>
        <v>#NAME?</v>
      </c>
      <c r="I8" t="e">
        <f>VLOOKUP(C8,articulos,2,FALSE)</f>
        <v>#NAME?</v>
      </c>
      <c r="J8" t="b">
        <f t="shared" ref="J8:J16" si="2">ISERROR(I8)</f>
        <v>1</v>
      </c>
    </row>
    <row r="9" spans="2:34 16384:16384" ht="17.149999999999999" customHeight="1">
      <c r="B9" s="28"/>
      <c r="C9" s="29"/>
      <c r="D9" s="16"/>
      <c r="E9" s="39"/>
      <c r="F9" s="40"/>
      <c r="H9" t="e">
        <f>VLOOKUP(C9,articulos,5,FALSE)</f>
        <v>#NAME?</v>
      </c>
      <c r="I9" t="e">
        <f>VLOOKUP(C9,articulos,2,FALSE)</f>
        <v>#NAME?</v>
      </c>
      <c r="J9" t="b">
        <f t="shared" si="2"/>
        <v>1</v>
      </c>
    </row>
    <row r="10" spans="2:34 16384:16384" ht="17.149999999999999" customHeight="1">
      <c r="B10" s="28"/>
      <c r="C10" s="29"/>
      <c r="D10" s="16"/>
      <c r="E10" s="39"/>
      <c r="F10" s="40"/>
      <c r="H10" t="e">
        <f t="shared" si="0"/>
        <v>#NAME?</v>
      </c>
      <c r="I10" t="e">
        <f t="shared" si="1"/>
        <v>#NAME?</v>
      </c>
      <c r="J10" t="b">
        <f t="shared" si="2"/>
        <v>1</v>
      </c>
    </row>
    <row r="11" spans="2:34 16384:16384" ht="17.149999999999999" customHeight="1">
      <c r="B11" s="28"/>
      <c r="C11" s="29"/>
      <c r="D11" s="16"/>
      <c r="E11" s="39"/>
      <c r="F11" s="40"/>
      <c r="H11" t="e">
        <f t="shared" si="0"/>
        <v>#NAME?</v>
      </c>
      <c r="I11" t="e">
        <f t="shared" si="1"/>
        <v>#NAME?</v>
      </c>
      <c r="J11" t="b">
        <f t="shared" si="2"/>
        <v>1</v>
      </c>
      <c r="M11" s="42"/>
    </row>
    <row r="12" spans="2:34 16384:16384" ht="17.149999999999999" customHeight="1">
      <c r="B12" s="28"/>
      <c r="C12" s="29"/>
      <c r="D12" s="16"/>
      <c r="E12" s="39"/>
      <c r="F12" s="40"/>
      <c r="H12" t="e">
        <f t="shared" si="0"/>
        <v>#NAME?</v>
      </c>
      <c r="I12" t="e">
        <f t="shared" si="1"/>
        <v>#NAME?</v>
      </c>
      <c r="J12" t="b">
        <f t="shared" si="2"/>
        <v>1</v>
      </c>
    </row>
    <row r="13" spans="2:34 16384:16384" ht="17.149999999999999" customHeight="1">
      <c r="B13" s="28"/>
      <c r="C13" s="29"/>
      <c r="D13" s="16"/>
      <c r="E13" s="39"/>
      <c r="F13" s="40"/>
      <c r="H13" t="e">
        <f t="shared" si="0"/>
        <v>#NAME?</v>
      </c>
      <c r="I13" t="e">
        <f t="shared" si="1"/>
        <v>#NAME?</v>
      </c>
      <c r="J13" t="b">
        <f t="shared" si="2"/>
        <v>1</v>
      </c>
    </row>
    <row r="14" spans="2:34 16384:16384" ht="17.149999999999999" customHeight="1">
      <c r="B14" s="28"/>
      <c r="C14" s="29"/>
      <c r="D14" s="16"/>
      <c r="E14" s="39"/>
      <c r="F14" s="40"/>
      <c r="H14" t="e">
        <f t="shared" si="0"/>
        <v>#NAME?</v>
      </c>
      <c r="I14" t="e">
        <f t="shared" si="1"/>
        <v>#NAME?</v>
      </c>
      <c r="J14" t="b">
        <f t="shared" si="2"/>
        <v>1</v>
      </c>
    </row>
    <row r="15" spans="2:34 16384:16384" ht="17.149999999999999" customHeight="1">
      <c r="B15" s="28"/>
      <c r="C15" s="29"/>
      <c r="D15" s="16"/>
      <c r="E15" s="39"/>
      <c r="F15" s="40"/>
      <c r="H15" t="e">
        <f t="shared" si="0"/>
        <v>#NAME?</v>
      </c>
      <c r="I15" t="e">
        <f t="shared" si="1"/>
        <v>#NAME?</v>
      </c>
      <c r="J15" t="b">
        <f t="shared" si="2"/>
        <v>1</v>
      </c>
      <c r="AG15" s="90" t="s">
        <v>138</v>
      </c>
      <c r="AH15" s="90" t="s">
        <v>139</v>
      </c>
    </row>
    <row r="16" spans="2:34 16384:16384" ht="17.149999999999999" customHeight="1">
      <c r="B16" s="28"/>
      <c r="C16" s="29"/>
      <c r="D16" s="16"/>
      <c r="E16" s="39"/>
      <c r="F16" s="40"/>
      <c r="H16" t="e">
        <f t="shared" si="0"/>
        <v>#NAME?</v>
      </c>
      <c r="I16" t="e">
        <f t="shared" si="1"/>
        <v>#NAME?</v>
      </c>
      <c r="J16" t="b">
        <f t="shared" si="2"/>
        <v>1</v>
      </c>
      <c r="AG16" s="91"/>
      <c r="AH16" s="91"/>
    </row>
    <row r="17" spans="1:34" ht="30" customHeight="1">
      <c r="B17" s="30"/>
      <c r="C17" s="30"/>
      <c r="D17" s="31"/>
      <c r="E17" s="94" t="s">
        <v>10</v>
      </c>
      <c r="F17" s="37"/>
      <c r="G17" s="10"/>
      <c r="H17" s="10"/>
      <c r="I17" s="10"/>
      <c r="J17" s="10"/>
      <c r="AG17" s="84">
        <v>1</v>
      </c>
      <c r="AH17" s="84">
        <v>11</v>
      </c>
    </row>
    <row r="18" spans="1:34" ht="30" customHeight="1">
      <c r="B18" s="30"/>
      <c r="C18" s="30"/>
      <c r="D18" s="63" t="s">
        <v>11</v>
      </c>
      <c r="E18" s="93"/>
      <c r="F18" s="37"/>
    </row>
    <row r="19" spans="1:34" ht="30" customHeight="1">
      <c r="B19" s="30"/>
      <c r="C19" s="30"/>
      <c r="D19" s="88" t="s">
        <v>10</v>
      </c>
      <c r="E19" s="89"/>
      <c r="F19" s="37"/>
    </row>
    <row r="20" spans="1:34" ht="30" customHeight="1">
      <c r="B20" s="33"/>
      <c r="C20" s="34"/>
      <c r="D20" s="32" t="s">
        <v>12</v>
      </c>
      <c r="E20" s="35">
        <v>0.21</v>
      </c>
      <c r="F20" s="37"/>
    </row>
    <row r="21" spans="1:34" ht="48.75" customHeight="1">
      <c r="A21" s="69"/>
      <c r="B21" s="33"/>
      <c r="C21" s="34"/>
      <c r="D21" s="31"/>
      <c r="E21" s="36" t="s">
        <v>13</v>
      </c>
      <c r="F21" s="64"/>
    </row>
    <row r="22" spans="1:34" ht="17.149999999999999" customHeight="1">
      <c r="A22" s="69"/>
      <c r="B22" s="6"/>
      <c r="C22" s="6"/>
      <c r="D22" s="7"/>
      <c r="E22" s="2"/>
    </row>
    <row r="23" spans="1:34" ht="17.149999999999999" customHeight="1">
      <c r="A23" s="69"/>
      <c r="B23" s="2"/>
      <c r="C23" s="2"/>
      <c r="D23" s="2"/>
      <c r="E23" s="8"/>
      <c r="F23" s="2"/>
    </row>
    <row r="24" spans="1:34" ht="17.149999999999999" customHeight="1">
      <c r="A24" s="69"/>
      <c r="B24" s="2"/>
      <c r="C24" s="2"/>
      <c r="D24" s="5"/>
      <c r="E24" s="4"/>
      <c r="F24" s="2"/>
    </row>
    <row r="25" spans="1:34" ht="17.149999999999999" customHeight="1">
      <c r="A25" s="69"/>
      <c r="B25" s="2"/>
      <c r="C25" s="2"/>
      <c r="D25" s="5"/>
      <c r="E25" s="4"/>
      <c r="F25" s="2"/>
    </row>
    <row r="26" spans="1:34" ht="17.5">
      <c r="A26" s="69"/>
      <c r="B26" s="3"/>
      <c r="C26" s="3"/>
      <c r="D26" s="3"/>
      <c r="E26" s="3"/>
      <c r="F26" s="3"/>
    </row>
    <row r="27" spans="1:34" ht="17.5">
      <c r="A27" s="69"/>
      <c r="B27" s="3"/>
      <c r="C27" s="3"/>
      <c r="D27" s="3"/>
      <c r="E27" s="3"/>
      <c r="F27" s="3"/>
    </row>
    <row r="28" spans="1:34" ht="18">
      <c r="A28" s="70"/>
      <c r="B28" s="1"/>
      <c r="C28" s="1"/>
      <c r="D28" s="1"/>
      <c r="E28" s="1"/>
      <c r="F28" s="1"/>
    </row>
    <row r="29" spans="1:34" ht="18">
      <c r="A29" s="70"/>
    </row>
    <row r="30" spans="1:34" ht="18">
      <c r="A30" s="70"/>
    </row>
    <row r="1048576" spans="1:1">
      <c r="A1048576">
        <v>1</v>
      </c>
    </row>
  </sheetData>
  <mergeCells count="5">
    <mergeCell ref="C4:D4"/>
    <mergeCell ref="C5:D5"/>
    <mergeCell ref="D19:E19"/>
    <mergeCell ref="AH15:AH16"/>
    <mergeCell ref="AG15:AG16"/>
  </mergeCells>
  <phoneticPr fontId="0" type="noConversion"/>
  <dataValidations xWindow="161" yWindow="422" count="2">
    <dataValidation type="whole" allowBlank="1" showErrorMessage="1" errorTitle="Cantidad fuera del Rango" error="No puede agregar mas de 999 articulos ni menores a 1" sqref="C7:C16" xr:uid="{294A1484-8B62-4243-90DF-5767FD684BA2}">
      <formula1>1</formula1>
      <formula2>999</formula2>
    </dataValidation>
    <dataValidation type="whole" allowBlank="1" showInputMessage="1" showErrorMessage="1" errorTitle="Error" error="No existen códigos menores a 101 y mayores a 120_x000a_" sqref="B7:B16" xr:uid="{FAAD31AF-2865-435F-9A28-D5CFA48655DF}">
      <formula1>101</formula1>
      <formula2>120</formula2>
    </dataValidation>
  </dataValidations>
  <pageMargins left="0.75" right="0.75" top="1" bottom="1" header="0" footer="0"/>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O26"/>
  <sheetViews>
    <sheetView tabSelected="1" workbookViewId="0">
      <selection activeCell="A7" sqref="A7"/>
    </sheetView>
  </sheetViews>
  <sheetFormatPr baseColWidth="10" defaultColWidth="11.453125" defaultRowHeight="12.5"/>
  <cols>
    <col min="1" max="1" width="11.453125" style="9"/>
    <col min="2" max="2" width="24.6328125" bestFit="1" customWidth="1"/>
    <col min="3" max="3" width="13.6328125" style="9" customWidth="1"/>
    <col min="4" max="4" width="13.7265625" style="9" bestFit="1" customWidth="1"/>
    <col min="5" max="5" width="13.7265625" style="9" customWidth="1"/>
    <col min="6" max="6" width="20.08984375" style="9" customWidth="1"/>
    <col min="7" max="7" width="11.453125" style="9"/>
    <col min="9" max="9" width="26" customWidth="1"/>
    <col min="10" max="10" width="13.6328125" customWidth="1"/>
    <col min="14" max="14" width="8.6328125" customWidth="1"/>
    <col min="15" max="15" width="16.453125" bestFit="1" customWidth="1"/>
  </cols>
  <sheetData>
    <row r="1" spans="1:15" ht="14">
      <c r="A1" s="71" t="s">
        <v>14</v>
      </c>
    </row>
    <row r="2" spans="1:15" ht="14">
      <c r="A2" s="43" t="s">
        <v>16</v>
      </c>
    </row>
    <row r="3" spans="1:15" ht="14.5" thickBot="1">
      <c r="A3" s="43" t="s">
        <v>140</v>
      </c>
    </row>
    <row r="4" spans="1:15" ht="19.5" customHeight="1" thickBot="1">
      <c r="A4" s="95" t="s">
        <v>142</v>
      </c>
      <c r="I4" s="52" t="s">
        <v>15</v>
      </c>
      <c r="J4" s="65" t="s">
        <v>131</v>
      </c>
    </row>
    <row r="5" spans="1:15" ht="20.5" customHeight="1" thickBot="1">
      <c r="A5" s="43" t="s">
        <v>141</v>
      </c>
      <c r="I5" s="67">
        <v>0.4</v>
      </c>
      <c r="J5" s="66"/>
    </row>
    <row r="6" spans="1:15" ht="19.25" customHeight="1">
      <c r="A6" s="11" t="s">
        <v>17</v>
      </c>
      <c r="B6" s="11" t="s">
        <v>18</v>
      </c>
      <c r="C6" s="11" t="s">
        <v>19</v>
      </c>
      <c r="D6" s="72" t="s">
        <v>136</v>
      </c>
      <c r="E6" s="72" t="s">
        <v>20</v>
      </c>
      <c r="F6" s="11" t="s">
        <v>21</v>
      </c>
      <c r="G6" s="11" t="s">
        <v>22</v>
      </c>
      <c r="H6" s="43"/>
      <c r="K6" s="15"/>
      <c r="L6" s="44" t="s">
        <v>132</v>
      </c>
      <c r="N6" s="11" t="s">
        <v>135</v>
      </c>
      <c r="O6" s="11" t="s">
        <v>20</v>
      </c>
    </row>
    <row r="7" spans="1:15" ht="15.5">
      <c r="A7" s="68">
        <v>101</v>
      </c>
      <c r="B7" s="47" t="s">
        <v>23</v>
      </c>
      <c r="C7" s="45"/>
      <c r="D7" s="68">
        <v>1</v>
      </c>
      <c r="E7" s="68"/>
      <c r="F7" s="73"/>
      <c r="G7" s="68">
        <v>114</v>
      </c>
      <c r="L7" s="45">
        <v>120</v>
      </c>
      <c r="N7" s="9">
        <v>1</v>
      </c>
      <c r="O7" t="s">
        <v>24</v>
      </c>
    </row>
    <row r="8" spans="1:15" ht="15.5">
      <c r="A8" s="68">
        <v>102</v>
      </c>
      <c r="B8" s="47" t="s">
        <v>25</v>
      </c>
      <c r="C8" s="45"/>
      <c r="D8" s="68">
        <v>2</v>
      </c>
      <c r="E8" s="68"/>
      <c r="F8" s="73"/>
      <c r="G8" s="68">
        <v>24</v>
      </c>
      <c r="L8" s="45">
        <v>30</v>
      </c>
      <c r="N8" s="9">
        <v>2</v>
      </c>
      <c r="O8" t="s">
        <v>26</v>
      </c>
    </row>
    <row r="9" spans="1:15" ht="15.5">
      <c r="A9" s="68">
        <v>103</v>
      </c>
      <c r="B9" s="47" t="s">
        <v>27</v>
      </c>
      <c r="C9" s="45"/>
      <c r="D9" s="68">
        <v>3</v>
      </c>
      <c r="E9" s="68"/>
      <c r="F9" s="73"/>
      <c r="G9" s="68">
        <v>136</v>
      </c>
      <c r="L9" s="45">
        <v>0.5</v>
      </c>
      <c r="N9" s="9">
        <v>3</v>
      </c>
      <c r="O9" t="s">
        <v>28</v>
      </c>
    </row>
    <row r="10" spans="1:15" ht="15.5">
      <c r="A10" s="68">
        <v>104</v>
      </c>
      <c r="B10" s="47" t="s">
        <v>29</v>
      </c>
      <c r="C10" s="45"/>
      <c r="D10" s="68">
        <v>4</v>
      </c>
      <c r="E10" s="68"/>
      <c r="F10" s="73"/>
      <c r="G10" s="68">
        <v>55</v>
      </c>
      <c r="L10" s="45">
        <v>8</v>
      </c>
      <c r="N10" s="9">
        <v>4</v>
      </c>
      <c r="O10" t="s">
        <v>30</v>
      </c>
    </row>
    <row r="11" spans="1:15" ht="15.5">
      <c r="A11" s="68">
        <v>105</v>
      </c>
      <c r="B11" s="47" t="s">
        <v>31</v>
      </c>
      <c r="C11" s="45"/>
      <c r="D11" s="68">
        <v>5</v>
      </c>
      <c r="E11" s="68"/>
      <c r="F11" s="73"/>
      <c r="G11" s="68">
        <v>14</v>
      </c>
      <c r="L11" s="45">
        <v>45</v>
      </c>
      <c r="N11" s="9">
        <v>5</v>
      </c>
      <c r="O11" t="s">
        <v>32</v>
      </c>
    </row>
    <row r="12" spans="1:15" ht="15.5">
      <c r="A12" s="68">
        <v>106</v>
      </c>
      <c r="B12" s="47" t="s">
        <v>33</v>
      </c>
      <c r="C12" s="45"/>
      <c r="D12" s="68">
        <v>1</v>
      </c>
      <c r="E12" s="68"/>
      <c r="F12" s="73"/>
      <c r="G12" s="68">
        <v>7</v>
      </c>
      <c r="L12" s="45">
        <v>320</v>
      </c>
      <c r="N12" s="9">
        <v>6</v>
      </c>
      <c r="O12" t="s">
        <v>36</v>
      </c>
    </row>
    <row r="13" spans="1:15" ht="15.5">
      <c r="A13" s="68">
        <v>107</v>
      </c>
      <c r="B13" s="47" t="s">
        <v>34</v>
      </c>
      <c r="C13" s="45"/>
      <c r="D13" s="68">
        <v>1</v>
      </c>
      <c r="E13" s="68"/>
      <c r="F13" s="73"/>
      <c r="G13" s="68">
        <v>108</v>
      </c>
      <c r="L13" s="45">
        <v>25</v>
      </c>
      <c r="N13" s="9">
        <v>7</v>
      </c>
      <c r="O13" t="s">
        <v>38</v>
      </c>
    </row>
    <row r="14" spans="1:15" ht="15.5">
      <c r="A14" s="68">
        <v>108</v>
      </c>
      <c r="B14" s="47" t="s">
        <v>35</v>
      </c>
      <c r="C14" s="45"/>
      <c r="D14" s="68">
        <v>6</v>
      </c>
      <c r="E14" s="68"/>
      <c r="F14" s="73"/>
      <c r="G14" s="68">
        <v>85</v>
      </c>
      <c r="L14" s="45">
        <v>150</v>
      </c>
      <c r="N14" s="9">
        <v>8</v>
      </c>
      <c r="O14" t="s">
        <v>44</v>
      </c>
    </row>
    <row r="15" spans="1:15" ht="15.5">
      <c r="A15" s="68">
        <v>109</v>
      </c>
      <c r="B15" s="47" t="s">
        <v>37</v>
      </c>
      <c r="C15" s="45"/>
      <c r="D15" s="68">
        <v>7</v>
      </c>
      <c r="E15" s="68"/>
      <c r="F15" s="73"/>
      <c r="G15" s="68">
        <v>21</v>
      </c>
      <c r="L15" s="45">
        <v>750</v>
      </c>
    </row>
    <row r="16" spans="1:15" ht="15.5">
      <c r="A16" s="68">
        <v>110</v>
      </c>
      <c r="B16" s="47" t="s">
        <v>39</v>
      </c>
      <c r="C16" s="45"/>
      <c r="D16" s="68">
        <v>1</v>
      </c>
      <c r="E16" s="68"/>
      <c r="F16" s="73"/>
      <c r="G16" s="68">
        <v>108</v>
      </c>
      <c r="L16" s="45">
        <v>175</v>
      </c>
    </row>
    <row r="17" spans="1:12" ht="15.5">
      <c r="A17" s="68">
        <v>111</v>
      </c>
      <c r="B17" s="47" t="s">
        <v>40</v>
      </c>
      <c r="C17" s="45"/>
      <c r="D17" s="68">
        <v>1</v>
      </c>
      <c r="E17" s="68"/>
      <c r="F17" s="73"/>
      <c r="G17" s="68">
        <v>24</v>
      </c>
      <c r="L17" s="45">
        <v>300</v>
      </c>
    </row>
    <row r="18" spans="1:12" ht="15.5">
      <c r="A18" s="68">
        <v>112</v>
      </c>
      <c r="B18" s="47" t="s">
        <v>41</v>
      </c>
      <c r="C18" s="45"/>
      <c r="D18" s="68">
        <v>1</v>
      </c>
      <c r="E18" s="68"/>
      <c r="F18" s="73"/>
      <c r="G18" s="68">
        <v>180</v>
      </c>
      <c r="L18" s="45">
        <v>60</v>
      </c>
    </row>
    <row r="19" spans="1:12" ht="15.5">
      <c r="A19" s="68">
        <v>113</v>
      </c>
      <c r="B19" s="47" t="s">
        <v>42</v>
      </c>
      <c r="C19" s="45"/>
      <c r="D19" s="68">
        <v>4</v>
      </c>
      <c r="E19" s="68"/>
      <c r="F19" s="73"/>
      <c r="G19" s="68">
        <v>145</v>
      </c>
      <c r="L19" s="45">
        <v>75</v>
      </c>
    </row>
    <row r="20" spans="1:12" ht="15.5">
      <c r="A20" s="68">
        <v>114</v>
      </c>
      <c r="B20" s="47" t="s">
        <v>43</v>
      </c>
      <c r="C20" s="45"/>
      <c r="D20" s="68">
        <v>8</v>
      </c>
      <c r="E20" s="68"/>
      <c r="F20" s="73"/>
      <c r="G20" s="68">
        <v>215</v>
      </c>
      <c r="L20" s="45">
        <v>25</v>
      </c>
    </row>
    <row r="21" spans="1:12" ht="15.5">
      <c r="A21" s="68">
        <v>115</v>
      </c>
      <c r="B21" s="47" t="s">
        <v>45</v>
      </c>
      <c r="C21" s="45"/>
      <c r="D21" s="68">
        <v>1</v>
      </c>
      <c r="E21" s="68"/>
      <c r="F21" s="73"/>
      <c r="G21" s="68">
        <v>187</v>
      </c>
      <c r="L21" s="45">
        <v>7</v>
      </c>
    </row>
    <row r="22" spans="1:12" ht="15.5">
      <c r="A22" s="68">
        <v>116</v>
      </c>
      <c r="B22" s="47" t="s">
        <v>46</v>
      </c>
      <c r="C22" s="45"/>
      <c r="D22" s="68">
        <v>1</v>
      </c>
      <c r="E22" s="68"/>
      <c r="F22" s="73"/>
      <c r="G22" s="68">
        <v>36</v>
      </c>
      <c r="L22" s="45">
        <v>6</v>
      </c>
    </row>
    <row r="23" spans="1:12" ht="15.5">
      <c r="A23" s="68">
        <v>117</v>
      </c>
      <c r="B23" s="47" t="s">
        <v>47</v>
      </c>
      <c r="C23" s="45"/>
      <c r="D23" s="68">
        <v>5</v>
      </c>
      <c r="E23" s="68"/>
      <c r="F23" s="73"/>
      <c r="G23" s="68">
        <v>124</v>
      </c>
      <c r="L23" s="45">
        <v>15</v>
      </c>
    </row>
    <row r="24" spans="1:12" ht="15.5">
      <c r="A24" s="68">
        <v>118</v>
      </c>
      <c r="B24" s="47" t="s">
        <v>48</v>
      </c>
      <c r="C24" s="45"/>
      <c r="D24" s="68">
        <v>4</v>
      </c>
      <c r="E24" s="68"/>
      <c r="F24" s="73"/>
      <c r="G24" s="68">
        <v>178</v>
      </c>
      <c r="L24" s="45">
        <v>85</v>
      </c>
    </row>
    <row r="25" spans="1:12" ht="15.5">
      <c r="A25" s="68">
        <v>119</v>
      </c>
      <c r="B25" s="47" t="s">
        <v>49</v>
      </c>
      <c r="C25" s="45"/>
      <c r="D25" s="68">
        <v>6</v>
      </c>
      <c r="E25" s="68"/>
      <c r="F25" s="73"/>
      <c r="G25" s="68">
        <v>26</v>
      </c>
      <c r="L25" s="45">
        <v>180</v>
      </c>
    </row>
    <row r="26" spans="1:12" ht="15.5">
      <c r="A26" s="68">
        <v>120</v>
      </c>
      <c r="B26" s="47" t="s">
        <v>50</v>
      </c>
      <c r="C26" s="45"/>
      <c r="D26" s="68">
        <v>1</v>
      </c>
      <c r="E26" s="68"/>
      <c r="F26" s="73"/>
      <c r="G26" s="68">
        <v>115</v>
      </c>
      <c r="J26" s="12"/>
      <c r="L26" s="45">
        <v>3</v>
      </c>
    </row>
  </sheetData>
  <phoneticPr fontId="0" type="noConversion"/>
  <pageMargins left="0.75" right="0.75" top="1" bottom="1" header="0" footer="0"/>
  <pageSetup orientation="portrait" horizontalDpi="300" verticalDpi="300" r:id="rId1"/>
  <headerFooter alignWithMargins="0"/>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K21"/>
  <sheetViews>
    <sheetView workbookViewId="0">
      <selection activeCell="J14" sqref="J14"/>
    </sheetView>
  </sheetViews>
  <sheetFormatPr baseColWidth="10" defaultColWidth="11.453125" defaultRowHeight="12.5"/>
  <cols>
    <col min="2" max="2" width="17.36328125" customWidth="1"/>
    <col min="3" max="3" width="11.453125" customWidth="1"/>
    <col min="4" max="4" width="12.453125" customWidth="1"/>
    <col min="5" max="5" width="11.6328125" style="9" customWidth="1"/>
    <col min="6" max="6" width="17.6328125" bestFit="1" customWidth="1"/>
    <col min="7" max="7" width="17" customWidth="1"/>
    <col min="8" max="8" width="6.453125" bestFit="1" customWidth="1"/>
    <col min="9" max="9" width="3.90625" customWidth="1"/>
    <col min="10" max="10" width="15.54296875" customWidth="1"/>
    <col min="11" max="11" width="13.90625" customWidth="1"/>
  </cols>
  <sheetData>
    <row r="1" spans="1:11" ht="13">
      <c r="A1" s="14" t="s">
        <v>137</v>
      </c>
    </row>
    <row r="2" spans="1:11">
      <c r="A2" s="9"/>
      <c r="C2" s="92"/>
      <c r="D2" s="92"/>
    </row>
    <row r="3" spans="1:11" ht="31">
      <c r="A3" s="11" t="s">
        <v>51</v>
      </c>
      <c r="B3" s="11" t="s">
        <v>52</v>
      </c>
      <c r="C3" s="11" t="s">
        <v>53</v>
      </c>
      <c r="D3" s="11" t="s">
        <v>54</v>
      </c>
      <c r="E3" s="11" t="s">
        <v>55</v>
      </c>
      <c r="F3" s="11" t="s">
        <v>4</v>
      </c>
      <c r="G3" s="11" t="s">
        <v>56</v>
      </c>
      <c r="J3" s="55" t="s">
        <v>57</v>
      </c>
      <c r="K3" s="56" t="s">
        <v>58</v>
      </c>
    </row>
    <row r="4" spans="1:11" ht="15.5">
      <c r="A4" s="46" t="s">
        <v>59</v>
      </c>
      <c r="B4" s="47" t="s">
        <v>60</v>
      </c>
      <c r="C4" s="47" t="s">
        <v>61</v>
      </c>
      <c r="D4" s="47" t="s">
        <v>62</v>
      </c>
      <c r="E4" s="53" t="s">
        <v>63</v>
      </c>
      <c r="F4" s="47" t="s">
        <v>64</v>
      </c>
      <c r="G4" s="48">
        <v>4</v>
      </c>
      <c r="J4" s="57">
        <v>1</v>
      </c>
      <c r="K4" s="58">
        <v>0.05</v>
      </c>
    </row>
    <row r="5" spans="1:11" ht="15.5">
      <c r="A5" s="46" t="s">
        <v>65</v>
      </c>
      <c r="B5" s="47" t="s">
        <v>66</v>
      </c>
      <c r="C5" s="47" t="s">
        <v>67</v>
      </c>
      <c r="D5" s="47" t="s">
        <v>68</v>
      </c>
      <c r="E5" s="53" t="s">
        <v>69</v>
      </c>
      <c r="F5" s="47" t="s">
        <v>70</v>
      </c>
      <c r="G5" s="48">
        <v>1</v>
      </c>
      <c r="J5" s="57">
        <v>2</v>
      </c>
      <c r="K5" s="58">
        <v>0.04</v>
      </c>
    </row>
    <row r="6" spans="1:11" ht="15.5">
      <c r="A6" s="46" t="s">
        <v>71</v>
      </c>
      <c r="B6" s="47" t="s">
        <v>72</v>
      </c>
      <c r="C6" s="47" t="s">
        <v>73</v>
      </c>
      <c r="D6" s="47" t="s">
        <v>74</v>
      </c>
      <c r="E6" s="53" t="s">
        <v>75</v>
      </c>
      <c r="F6" s="47" t="s">
        <v>76</v>
      </c>
      <c r="G6" s="48">
        <v>2</v>
      </c>
      <c r="J6" s="57">
        <v>3</v>
      </c>
      <c r="K6" s="58">
        <v>0.03</v>
      </c>
    </row>
    <row r="7" spans="1:11" ht="15.5">
      <c r="A7" s="46" t="s">
        <v>3</v>
      </c>
      <c r="B7" s="47" t="s">
        <v>77</v>
      </c>
      <c r="C7" s="47" t="s">
        <v>78</v>
      </c>
      <c r="D7" s="47" t="s">
        <v>79</v>
      </c>
      <c r="E7" s="53" t="s">
        <v>80</v>
      </c>
      <c r="F7" s="47" t="s">
        <v>81</v>
      </c>
      <c r="G7" s="48">
        <v>1</v>
      </c>
      <c r="J7" s="57">
        <v>4</v>
      </c>
      <c r="K7" s="58">
        <v>0.01</v>
      </c>
    </row>
    <row r="8" spans="1:11" ht="15.5">
      <c r="A8" s="46" t="s">
        <v>82</v>
      </c>
      <c r="B8" s="47" t="s">
        <v>83</v>
      </c>
      <c r="C8" s="47" t="s">
        <v>84</v>
      </c>
      <c r="D8" s="47" t="s">
        <v>85</v>
      </c>
      <c r="E8" s="53" t="s">
        <v>86</v>
      </c>
      <c r="F8" s="47" t="s">
        <v>87</v>
      </c>
      <c r="G8" s="48">
        <v>1</v>
      </c>
    </row>
    <row r="9" spans="1:11" ht="15.5">
      <c r="A9" s="46" t="s">
        <v>88</v>
      </c>
      <c r="B9" s="47" t="s">
        <v>89</v>
      </c>
      <c r="C9" s="47" t="s">
        <v>90</v>
      </c>
      <c r="D9" s="47" t="s">
        <v>91</v>
      </c>
      <c r="E9" s="53" t="s">
        <v>92</v>
      </c>
      <c r="F9" s="47" t="s">
        <v>93</v>
      </c>
      <c r="G9" s="48">
        <v>2</v>
      </c>
    </row>
    <row r="10" spans="1:11" ht="15.5">
      <c r="A10" s="46" t="s">
        <v>94</v>
      </c>
      <c r="B10" s="47" t="s">
        <v>89</v>
      </c>
      <c r="C10" s="47" t="s">
        <v>95</v>
      </c>
      <c r="D10" s="47" t="s">
        <v>96</v>
      </c>
      <c r="E10" s="53" t="s">
        <v>92</v>
      </c>
      <c r="F10" s="47" t="s">
        <v>97</v>
      </c>
      <c r="G10" s="48">
        <v>3</v>
      </c>
    </row>
    <row r="11" spans="1:11" ht="15.5">
      <c r="A11" s="46" t="s">
        <v>98</v>
      </c>
      <c r="B11" s="47" t="s">
        <v>99</v>
      </c>
      <c r="C11" s="47" t="s">
        <v>100</v>
      </c>
      <c r="D11" s="47" t="s">
        <v>101</v>
      </c>
      <c r="E11" s="53" t="s">
        <v>102</v>
      </c>
      <c r="F11" s="47" t="s">
        <v>103</v>
      </c>
      <c r="G11" s="48">
        <v>1</v>
      </c>
    </row>
    <row r="12" spans="1:11" ht="15.5">
      <c r="A12" s="46" t="s">
        <v>104</v>
      </c>
      <c r="B12" s="47" t="s">
        <v>105</v>
      </c>
      <c r="C12" s="47" t="s">
        <v>106</v>
      </c>
      <c r="D12" s="47" t="s">
        <v>107</v>
      </c>
      <c r="E12" s="53" t="s">
        <v>108</v>
      </c>
      <c r="F12" s="47" t="s">
        <v>109</v>
      </c>
      <c r="G12" s="48">
        <v>4</v>
      </c>
    </row>
    <row r="13" spans="1:11" ht="15.5">
      <c r="A13" s="46" t="s">
        <v>110</v>
      </c>
      <c r="B13" s="47" t="s">
        <v>111</v>
      </c>
      <c r="C13" s="47" t="s">
        <v>112</v>
      </c>
      <c r="D13" s="47" t="s">
        <v>113</v>
      </c>
      <c r="E13" s="53" t="s">
        <v>63</v>
      </c>
      <c r="F13" s="47" t="s">
        <v>114</v>
      </c>
      <c r="G13" s="48">
        <v>3</v>
      </c>
    </row>
    <row r="14" spans="1:11" ht="15.5">
      <c r="A14" s="49" t="s">
        <v>115</v>
      </c>
      <c r="B14" s="50" t="s">
        <v>116</v>
      </c>
      <c r="C14" s="50" t="s">
        <v>117</v>
      </c>
      <c r="D14" s="50" t="s">
        <v>118</v>
      </c>
      <c r="E14" s="54" t="s">
        <v>119</v>
      </c>
      <c r="F14" s="50" t="s">
        <v>120</v>
      </c>
      <c r="G14" s="51">
        <v>2</v>
      </c>
    </row>
    <row r="17" spans="4:7">
      <c r="D17" s="11"/>
      <c r="E17" s="11"/>
      <c r="F17" s="11"/>
    </row>
    <row r="18" spans="4:7">
      <c r="D18" s="11"/>
      <c r="E18" s="11"/>
      <c r="F18" s="11"/>
    </row>
    <row r="19" spans="4:7">
      <c r="D19" s="11"/>
      <c r="E19" s="11"/>
    </row>
    <row r="20" spans="4:7">
      <c r="D20" s="11"/>
      <c r="E20" s="11"/>
      <c r="G20" s="10"/>
    </row>
    <row r="21" spans="4:7">
      <c r="D21" s="11"/>
      <c r="E21" s="11"/>
    </row>
  </sheetData>
  <sortState xmlns:xlrd2="http://schemas.microsoft.com/office/spreadsheetml/2017/richdata2" ref="A4:G14">
    <sortCondition ref="A4:A14"/>
  </sortState>
  <mergeCells count="1">
    <mergeCell ref="C2:D2"/>
  </mergeCells>
  <phoneticPr fontId="0" type="noConversion"/>
  <pageMargins left="0.75" right="0.75" top="1" bottom="1" header="0" footer="0"/>
  <pageSetup orientation="portrait" horizontalDpi="300" verticalDpi="300" r:id="rId1"/>
  <headerFooter alignWithMargins="0"/>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EA61B-3E6A-4701-AD5C-E4219F742065}">
  <sheetPr codeName="Hoja4"/>
  <dimension ref="A1:F12"/>
  <sheetViews>
    <sheetView workbookViewId="0">
      <selection activeCell="B2" sqref="B2"/>
    </sheetView>
  </sheetViews>
  <sheetFormatPr baseColWidth="10" defaultColWidth="11.453125" defaultRowHeight="12.5"/>
  <cols>
    <col min="1" max="1" width="15" bestFit="1" customWidth="1"/>
    <col min="4" max="4" width="13.1796875" bestFit="1" customWidth="1"/>
    <col min="5" max="5" width="14.90625" customWidth="1"/>
    <col min="6" max="6" width="12.81640625" bestFit="1" customWidth="1"/>
  </cols>
  <sheetData>
    <row r="1" spans="1:6" ht="26.5" thickBot="1">
      <c r="A1" s="59" t="s">
        <v>121</v>
      </c>
      <c r="B1" s="59" t="s">
        <v>122</v>
      </c>
      <c r="C1" s="59" t="s">
        <v>123</v>
      </c>
      <c r="D1" s="59" t="s">
        <v>124</v>
      </c>
      <c r="E1" s="59" t="s">
        <v>125</v>
      </c>
      <c r="F1" s="59" t="s">
        <v>126</v>
      </c>
    </row>
    <row r="2" spans="1:6" ht="16" thickBot="1">
      <c r="A2" s="41" t="e">
        <f>CONCATENATE(#REF!,A50)</f>
        <v>#REF!</v>
      </c>
      <c r="B2" s="17"/>
      <c r="C2" s="59"/>
      <c r="D2" s="59"/>
      <c r="E2" s="59"/>
      <c r="F2" s="59"/>
    </row>
    <row r="3" spans="1:6" ht="16" thickBot="1">
      <c r="A3" s="41" t="e">
        <f>CONCATENATE(#REF!,A51)</f>
        <v>#REF!</v>
      </c>
      <c r="B3" s="17"/>
      <c r="C3" s="59"/>
      <c r="D3" s="59"/>
      <c r="E3" s="59"/>
      <c r="F3" s="59"/>
    </row>
    <row r="4" spans="1:6" ht="16" thickBot="1">
      <c r="A4" s="41" t="e">
        <f>CONCATENATE(#REF!,A52)</f>
        <v>#REF!</v>
      </c>
      <c r="B4" s="17"/>
      <c r="C4" s="59"/>
      <c r="D4" s="59"/>
      <c r="E4" s="59"/>
      <c r="F4" s="59"/>
    </row>
    <row r="5" spans="1:6" ht="16" thickBot="1">
      <c r="A5" s="41" t="e">
        <f>CONCATENATE(#REF!,A53)</f>
        <v>#REF!</v>
      </c>
      <c r="B5" s="17"/>
      <c r="C5" s="38"/>
      <c r="D5" s="38"/>
      <c r="E5" s="38"/>
      <c r="F5" s="38"/>
    </row>
    <row r="6" spans="1:6">
      <c r="A6" s="59"/>
      <c r="B6" s="59"/>
      <c r="C6" s="59"/>
      <c r="D6" s="59"/>
      <c r="E6" s="59"/>
      <c r="F6" s="59"/>
    </row>
    <row r="7" spans="1:6">
      <c r="A7" s="59" t="s">
        <v>134</v>
      </c>
      <c r="B7" s="59" t="s">
        <v>66</v>
      </c>
      <c r="C7" s="59">
        <v>45186</v>
      </c>
      <c r="D7" s="59">
        <v>40425</v>
      </c>
      <c r="E7" s="59">
        <v>38403.75</v>
      </c>
      <c r="F7" s="59">
        <v>46468.537499999999</v>
      </c>
    </row>
    <row r="8" spans="1:6">
      <c r="A8" s="59" t="s">
        <v>133</v>
      </c>
      <c r="B8" s="59" t="s">
        <v>77</v>
      </c>
      <c r="C8" s="59">
        <v>45186</v>
      </c>
      <c r="D8" s="59">
        <v>126000</v>
      </c>
      <c r="E8" s="59">
        <v>119700</v>
      </c>
      <c r="F8" s="59">
        <v>144837</v>
      </c>
    </row>
    <row r="9" spans="1:6">
      <c r="A9" s="38" t="s">
        <v>130</v>
      </c>
      <c r="B9" s="38" t="s">
        <v>105</v>
      </c>
      <c r="C9" s="61">
        <v>44845</v>
      </c>
      <c r="D9" s="60">
        <v>114359</v>
      </c>
      <c r="E9" s="60">
        <v>113215.41</v>
      </c>
      <c r="F9" s="60">
        <v>89440.173900000009</v>
      </c>
    </row>
    <row r="10" spans="1:6">
      <c r="A10" s="38" t="s">
        <v>127</v>
      </c>
      <c r="B10" s="38" t="s">
        <v>77</v>
      </c>
      <c r="C10" s="61">
        <v>44840</v>
      </c>
      <c r="D10" s="60">
        <v>117288.5</v>
      </c>
      <c r="E10" s="60">
        <v>111424.075</v>
      </c>
      <c r="F10" s="60">
        <v>88025.019249999998</v>
      </c>
    </row>
    <row r="11" spans="1:6">
      <c r="A11" s="38" t="s">
        <v>128</v>
      </c>
      <c r="B11" s="38" t="s">
        <v>77</v>
      </c>
      <c r="C11" s="61">
        <v>44840</v>
      </c>
      <c r="D11" s="60">
        <v>117288.5</v>
      </c>
      <c r="E11" s="60">
        <v>111424.075</v>
      </c>
      <c r="F11" s="60">
        <v>88025.019249999998</v>
      </c>
    </row>
    <row r="12" spans="1:6">
      <c r="A12" s="38" t="s">
        <v>129</v>
      </c>
      <c r="B12" s="38" t="s">
        <v>77</v>
      </c>
      <c r="C12" s="61">
        <v>44840</v>
      </c>
      <c r="D12" s="60">
        <v>198555</v>
      </c>
      <c r="E12" s="60">
        <v>188627.25</v>
      </c>
      <c r="F12" s="60">
        <v>149015.5275</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ams_Channel_Section_Location xmlns="dcd687b3-ff2a-4cef-8a8e-ae79212dfc5f" xsi:nil="true"/>
    <Templates xmlns="dcd687b3-ff2a-4cef-8a8e-ae79212dfc5f" xsi:nil="true"/>
    <NotebookType xmlns="dcd687b3-ff2a-4cef-8a8e-ae79212dfc5f" xsi:nil="true"/>
    <CultureName xmlns="dcd687b3-ff2a-4cef-8a8e-ae79212dfc5f" xsi:nil="true"/>
    <TeamsChannelId xmlns="dcd687b3-ff2a-4cef-8a8e-ae79212dfc5f" xsi:nil="true"/>
    <_activity xmlns="dcd687b3-ff2a-4cef-8a8e-ae79212dfc5f" xsi:nil="true"/>
    <Owner xmlns="dcd687b3-ff2a-4cef-8a8e-ae79212dfc5f">
      <UserInfo>
        <DisplayName/>
        <AccountId xsi:nil="true"/>
        <AccountType/>
      </UserInfo>
    </Owner>
    <Students xmlns="dcd687b3-ff2a-4cef-8a8e-ae79212dfc5f">
      <UserInfo>
        <DisplayName/>
        <AccountId xsi:nil="true"/>
        <AccountType/>
      </UserInfo>
    </Students>
    <Student_Groups xmlns="dcd687b3-ff2a-4cef-8a8e-ae79212dfc5f">
      <UserInfo>
        <DisplayName/>
        <AccountId xsi:nil="true"/>
        <AccountType/>
      </UserInfo>
    </Student_Groups>
    <Distribution_Groups xmlns="dcd687b3-ff2a-4cef-8a8e-ae79212dfc5f" xsi:nil="true"/>
    <AppVersion xmlns="dcd687b3-ff2a-4cef-8a8e-ae79212dfc5f" xsi:nil="true"/>
    <Invited_Teachers xmlns="dcd687b3-ff2a-4cef-8a8e-ae79212dfc5f" xsi:nil="true"/>
    <LMS_Mappings xmlns="dcd687b3-ff2a-4cef-8a8e-ae79212dfc5f" xsi:nil="true"/>
    <IsNotebookLocked xmlns="dcd687b3-ff2a-4cef-8a8e-ae79212dfc5f" xsi:nil="true"/>
    <DefaultSectionNames xmlns="dcd687b3-ff2a-4cef-8a8e-ae79212dfc5f" xsi:nil="true"/>
    <Math_Settings xmlns="dcd687b3-ff2a-4cef-8a8e-ae79212dfc5f" xsi:nil="true"/>
    <Invited_Students xmlns="dcd687b3-ff2a-4cef-8a8e-ae79212dfc5f" xsi:nil="true"/>
    <Self_Registration_Enabled xmlns="dcd687b3-ff2a-4cef-8a8e-ae79212dfc5f" xsi:nil="true"/>
    <Has_Teacher_Only_SectionGroup xmlns="dcd687b3-ff2a-4cef-8a8e-ae79212dfc5f" xsi:nil="true"/>
    <FolderType xmlns="dcd687b3-ff2a-4cef-8a8e-ae79212dfc5f" xsi:nil="true"/>
    <Is_Collaboration_Space_Locked xmlns="dcd687b3-ff2a-4cef-8a8e-ae79212dfc5f" xsi:nil="true"/>
    <Teachers xmlns="dcd687b3-ff2a-4cef-8a8e-ae79212dfc5f">
      <UserInfo>
        <DisplayName/>
        <AccountId xsi:nil="true"/>
        <AccountType/>
      </UserInfo>
    </Teach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674FD52A83EA6F42B24A8CC4AC0D895F" ma:contentTypeVersion="39" ma:contentTypeDescription="Crear nuevo documento." ma:contentTypeScope="" ma:versionID="e96cc3eb67aa646f1bb5d364219c2b04">
  <xsd:schema xmlns:xsd="http://www.w3.org/2001/XMLSchema" xmlns:xs="http://www.w3.org/2001/XMLSchema" xmlns:p="http://schemas.microsoft.com/office/2006/metadata/properties" xmlns:ns3="fa31e3e4-dd04-430e-ab11-9f2e36e54c96" xmlns:ns4="dcd687b3-ff2a-4cef-8a8e-ae79212dfc5f" targetNamespace="http://schemas.microsoft.com/office/2006/metadata/properties" ma:root="true" ma:fieldsID="576fc06f3bbf39fb940cca0bf252bac3" ns3:_="" ns4:_="">
    <xsd:import namespace="fa31e3e4-dd04-430e-ab11-9f2e36e54c96"/>
    <xsd:import namespace="dcd687b3-ff2a-4cef-8a8e-ae79212dfc5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NotebookType" minOccurs="0"/>
                <xsd:element ref="ns4:FolderType" minOccurs="0"/>
                <xsd:element ref="ns4:Owner" minOccurs="0"/>
                <xsd:element ref="ns4:DefaultSectionNames" minOccurs="0"/>
                <xsd:element ref="ns4:Templates" minOccurs="0"/>
                <xsd:element ref="ns4:CultureName" minOccurs="0"/>
                <xsd:element ref="ns4:AppVersion" minOccurs="0"/>
                <xsd:element ref="ns4:Teachers" minOccurs="0"/>
                <xsd:element ref="ns4:Students" minOccurs="0"/>
                <xsd:element ref="ns4:Student_Groups" minOccurs="0"/>
                <xsd:element ref="ns4:Invited_Teachers" minOccurs="0"/>
                <xsd:element ref="ns4:Invited_Students" minOccurs="0"/>
                <xsd:element ref="ns4:Self_Registration_Enabled" minOccurs="0"/>
                <xsd:element ref="ns4:Has_Teacher_Only_SectionGroup" minOccurs="0"/>
                <xsd:element ref="ns4:Is_Collaboration_Space_Locked" minOccurs="0"/>
                <xsd:element ref="ns4:TeamsChannelId" minOccurs="0"/>
                <xsd:element ref="ns4:Math_Settings" minOccurs="0"/>
                <xsd:element ref="ns4:Distribution_Groups" minOccurs="0"/>
                <xsd:element ref="ns4:LMS_Mappings" minOccurs="0"/>
                <xsd:element ref="ns4:IsNotebookLocked" minOccurs="0"/>
                <xsd:element ref="ns4:MediaServiceAutoTags" minOccurs="0"/>
                <xsd:element ref="ns4:MediaServiceOCR" minOccurs="0"/>
                <xsd:element ref="ns4:MediaServiceAutoKeyPoints" minOccurs="0"/>
                <xsd:element ref="ns4:MediaServiceKeyPoints" minOccurs="0"/>
                <xsd:element ref="ns4:MediaServiceDateTaken" minOccurs="0"/>
                <xsd:element ref="ns4:MediaServiceGenerationTime" minOccurs="0"/>
                <xsd:element ref="ns4:MediaServiceEventHashCode" minOccurs="0"/>
                <xsd:element ref="ns4:MediaServiceLocation" minOccurs="0"/>
                <xsd:element ref="ns4:Teams_Channel_Section_Location" minOccurs="0"/>
                <xsd:element ref="ns4:MediaLengthInSeconds" minOccurs="0"/>
                <xsd:element ref="ns4:_activity"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31e3e4-dd04-430e-ab11-9f2e36e54c96"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description="" ma:internalName="SharedWithDetails" ma:readOnly="true">
      <xsd:simpleType>
        <xsd:restriction base="dms:Note">
          <xsd:maxLength value="255"/>
        </xsd:restriction>
      </xsd:simpleType>
    </xsd:element>
    <xsd:element name="SharingHintHash" ma:index="10" nillable="true" ma:displayName="Hash de la sugerencia para compartir"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d687b3-ff2a-4cef-8a8e-ae79212dfc5f"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NotebookType" ma:index="13" nillable="true" ma:displayName="Notebook Type" ma:internalName="NotebookType">
      <xsd:simpleType>
        <xsd:restriction base="dms:Text"/>
      </xsd:simpleType>
    </xsd:element>
    <xsd:element name="FolderType" ma:index="14" nillable="true" ma:displayName="Folder Type" ma:internalName="FolderType">
      <xsd:simpleType>
        <xsd:restriction base="dms:Text"/>
      </xsd:simpleType>
    </xsd:element>
    <xsd:element name="Owner" ma:index="15" nillable="true" ma:displayName="Owner"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efaultSectionNames" ma:index="16" nillable="true" ma:displayName="Default Section Names" ma:internalName="DefaultSectionNames">
      <xsd:simpleType>
        <xsd:restriction base="dms:Note">
          <xsd:maxLength value="255"/>
        </xsd:restriction>
      </xsd:simpleType>
    </xsd:element>
    <xsd:element name="Templates" ma:index="17" nillable="true" ma:displayName="Templates" ma:internalName="Templates">
      <xsd:simpleType>
        <xsd:restriction base="dms:Note">
          <xsd:maxLength value="255"/>
        </xsd:restriction>
      </xsd:simpleType>
    </xsd:element>
    <xsd:element name="CultureName" ma:index="18" nillable="true" ma:displayName="Culture Name" ma:internalName="CultureName">
      <xsd:simpleType>
        <xsd:restriction base="dms:Text"/>
      </xsd:simpleType>
    </xsd:element>
    <xsd:element name="AppVersion" ma:index="19" nillable="true" ma:displayName="App Version" ma:internalName="AppVersion">
      <xsd:simpleType>
        <xsd:restriction base="dms:Text"/>
      </xsd:simpleType>
    </xsd:element>
    <xsd:element name="Teachers" ma:index="20" nillable="true" ma:displayName="Teachers" ma:internalName="Teach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s" ma:index="21" nillable="true" ma:displayName="Students" ma:internalName="Student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_Groups" ma:index="22" nillable="true" ma:displayName="Student Groups" ma:internalName="Student_Group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nvited_Teachers" ma:index="23" nillable="true" ma:displayName="Invited Teachers" ma:internalName="Invited_Teachers">
      <xsd:simpleType>
        <xsd:restriction base="dms:Note">
          <xsd:maxLength value="255"/>
        </xsd:restriction>
      </xsd:simpleType>
    </xsd:element>
    <xsd:element name="Invited_Students" ma:index="24" nillable="true" ma:displayName="Invited Students" ma:internalName="Invited_Students">
      <xsd:simpleType>
        <xsd:restriction base="dms:Note">
          <xsd:maxLength value="255"/>
        </xsd:restriction>
      </xsd:simpleType>
    </xsd:element>
    <xsd:element name="Self_Registration_Enabled" ma:index="25" nillable="true" ma:displayName="Self Registration Enabled" ma:internalName="Self_Registration_Enabled">
      <xsd:simpleType>
        <xsd:restriction base="dms:Boolean"/>
      </xsd:simpleType>
    </xsd:element>
    <xsd:element name="Has_Teacher_Only_SectionGroup" ma:index="26" nillable="true" ma:displayName="Has Teacher Only SectionGroup" ma:internalName="Has_Teacher_Only_SectionGroup">
      <xsd:simpleType>
        <xsd:restriction base="dms:Boolean"/>
      </xsd:simpleType>
    </xsd:element>
    <xsd:element name="Is_Collaboration_Space_Locked" ma:index="27" nillable="true" ma:displayName="Is Collaboration Space Locked" ma:internalName="Is_Collaboration_Space_Locked">
      <xsd:simpleType>
        <xsd:restriction base="dms:Boolean"/>
      </xsd:simpleType>
    </xsd:element>
    <xsd:element name="TeamsChannelId" ma:index="28" nillable="true" ma:displayName="Teams Channel Id" ma:internalName="TeamsChannelId">
      <xsd:simpleType>
        <xsd:restriction base="dms:Text"/>
      </xsd:simpleType>
    </xsd:element>
    <xsd:element name="Math_Settings" ma:index="29" nillable="true" ma:displayName="Math Settings" ma:internalName="Math_Settings">
      <xsd:simpleType>
        <xsd:restriction base="dms:Text"/>
      </xsd:simpleType>
    </xsd:element>
    <xsd:element name="Distribution_Groups" ma:index="30" nillable="true" ma:displayName="Distribution Groups" ma:internalName="Distribution_Groups">
      <xsd:simpleType>
        <xsd:restriction base="dms:Note">
          <xsd:maxLength value="255"/>
        </xsd:restriction>
      </xsd:simpleType>
    </xsd:element>
    <xsd:element name="LMS_Mappings" ma:index="31" nillable="true" ma:displayName="LMS Mappings" ma:internalName="LMS_Mappings">
      <xsd:simpleType>
        <xsd:restriction base="dms:Note">
          <xsd:maxLength value="255"/>
        </xsd:restriction>
      </xsd:simpleType>
    </xsd:element>
    <xsd:element name="IsNotebookLocked" ma:index="32" nillable="true" ma:displayName="Is Notebook Locked" ma:internalName="IsNotebookLocked">
      <xsd:simpleType>
        <xsd:restriction base="dms:Boolean"/>
      </xsd:simpleType>
    </xsd:element>
    <xsd:element name="MediaServiceAutoTags" ma:index="33" nillable="true" ma:displayName="Tags" ma:internalName="MediaServiceAutoTags" ma:readOnly="true">
      <xsd:simpleType>
        <xsd:restriction base="dms:Text"/>
      </xsd:simpleType>
    </xsd:element>
    <xsd:element name="MediaServiceOCR" ma:index="34" nillable="true" ma:displayName="Extracted Text" ma:internalName="MediaServiceOCR" ma:readOnly="true">
      <xsd:simpleType>
        <xsd:restriction base="dms:Note">
          <xsd:maxLength value="255"/>
        </xsd:restriction>
      </xsd:simpleType>
    </xsd:element>
    <xsd:element name="MediaServiceAutoKeyPoints" ma:index="35" nillable="true" ma:displayName="MediaServiceAutoKeyPoints" ma:hidden="true" ma:internalName="MediaServiceAutoKeyPoints" ma:readOnly="true">
      <xsd:simpleType>
        <xsd:restriction base="dms:Note"/>
      </xsd:simpleType>
    </xsd:element>
    <xsd:element name="MediaServiceKeyPoints" ma:index="36" nillable="true" ma:displayName="KeyPoints" ma:internalName="MediaServiceKeyPoints" ma:readOnly="true">
      <xsd:simpleType>
        <xsd:restriction base="dms:Note">
          <xsd:maxLength value="255"/>
        </xsd:restriction>
      </xsd:simpleType>
    </xsd:element>
    <xsd:element name="MediaServiceDateTaken" ma:index="37" nillable="true" ma:displayName="MediaServiceDateTaken" ma:hidden="true" ma:internalName="MediaServiceDateTaken" ma:readOnly="true">
      <xsd:simpleType>
        <xsd:restriction base="dms:Text"/>
      </xsd:simpleType>
    </xsd:element>
    <xsd:element name="MediaServiceGenerationTime" ma:index="38" nillable="true" ma:displayName="MediaServiceGenerationTime" ma:hidden="true" ma:internalName="MediaServiceGenerationTime" ma:readOnly="true">
      <xsd:simpleType>
        <xsd:restriction base="dms:Text"/>
      </xsd:simpleType>
    </xsd:element>
    <xsd:element name="MediaServiceEventHashCode" ma:index="39" nillable="true" ma:displayName="MediaServiceEventHashCode" ma:hidden="true" ma:internalName="MediaServiceEventHashCode" ma:readOnly="true">
      <xsd:simpleType>
        <xsd:restriction base="dms:Text"/>
      </xsd:simpleType>
    </xsd:element>
    <xsd:element name="MediaServiceLocation" ma:index="40" nillable="true" ma:displayName="Location" ma:internalName="MediaServiceLocation" ma:readOnly="true">
      <xsd:simpleType>
        <xsd:restriction base="dms:Text"/>
      </xsd:simpleType>
    </xsd:element>
    <xsd:element name="Teams_Channel_Section_Location" ma:index="41" nillable="true" ma:displayName="Teams Channel Section Location" ma:internalName="Teams_Channel_Section_Location">
      <xsd:simpleType>
        <xsd:restriction base="dms:Text"/>
      </xsd:simpleType>
    </xsd:element>
    <xsd:element name="MediaLengthInSeconds" ma:index="42" nillable="true" ma:displayName="MediaLengthInSeconds" ma:hidden="true" ma:internalName="MediaLengthInSeconds" ma:readOnly="true">
      <xsd:simpleType>
        <xsd:restriction base="dms:Unknown"/>
      </xsd:simpleType>
    </xsd:element>
    <xsd:element name="_activity" ma:index="43" nillable="true" ma:displayName="_activity" ma:hidden="true" ma:internalName="_activity">
      <xsd:simpleType>
        <xsd:restriction base="dms:Note"/>
      </xsd:simpleType>
    </xsd:element>
    <xsd:element name="MediaServiceObjectDetectorVersions" ma:index="44" nillable="true" ma:displayName="MediaServiceObjectDetectorVersions" ma:description="" ma:hidden="true" ma:indexed="true" ma:internalName="MediaServiceObjectDetectorVersions" ma:readOnly="true">
      <xsd:simpleType>
        <xsd:restriction base="dms:Text"/>
      </xsd:simpleType>
    </xsd:element>
    <xsd:element name="MediaServiceSystemTags" ma:index="45" nillable="true" ma:displayName="MediaServiceSystemTags" ma:hidden="true" ma:internalName="MediaServiceSystemTags" ma:readOnly="true">
      <xsd:simpleType>
        <xsd:restriction base="dms:Note"/>
      </xsd:simpleType>
    </xsd:element>
    <xsd:element name="MediaServiceSearchProperties" ma:index="4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B8E931-FBFC-42D4-BD32-360C51B23955}">
  <ds:schemaRefs>
    <ds:schemaRef ds:uri="http://schemas.microsoft.com/office/infopath/2007/PartnerControls"/>
    <ds:schemaRef ds:uri="http://www.w3.org/XML/1998/namespace"/>
    <ds:schemaRef ds:uri="fa31e3e4-dd04-430e-ab11-9f2e36e54c96"/>
    <ds:schemaRef ds:uri="http://purl.org/dc/elements/1.1/"/>
    <ds:schemaRef ds:uri="http://schemas.microsoft.com/office/2006/metadata/properties"/>
    <ds:schemaRef ds:uri="http://schemas.microsoft.com/office/2006/documentManagement/types"/>
    <ds:schemaRef ds:uri="http://purl.org/dc/dcmitype/"/>
    <ds:schemaRef ds:uri="http://purl.org/dc/terms/"/>
    <ds:schemaRef ds:uri="http://schemas.openxmlformats.org/package/2006/metadata/core-properties"/>
    <ds:schemaRef ds:uri="dcd687b3-ff2a-4cef-8a8e-ae79212dfc5f"/>
  </ds:schemaRefs>
</ds:datastoreItem>
</file>

<file path=customXml/itemProps2.xml><?xml version="1.0" encoding="utf-8"?>
<ds:datastoreItem xmlns:ds="http://schemas.openxmlformats.org/officeDocument/2006/customXml" ds:itemID="{ED5987C3-6AA5-4D09-9C51-B19EC6FF97CF}">
  <ds:schemaRefs>
    <ds:schemaRef ds:uri="http://schemas.microsoft.com/sharepoint/v3/contenttype/forms"/>
  </ds:schemaRefs>
</ds:datastoreItem>
</file>

<file path=customXml/itemProps3.xml><?xml version="1.0" encoding="utf-8"?>
<ds:datastoreItem xmlns:ds="http://schemas.openxmlformats.org/officeDocument/2006/customXml" ds:itemID="{D540D3C1-8155-44FF-8992-553FACAB6E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31e3e4-dd04-430e-ab11-9f2e36e54c96"/>
    <ds:schemaRef ds:uri="dcd687b3-ff2a-4cef-8a8e-ae79212dfc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Consigna</vt:lpstr>
      <vt:lpstr>Factura</vt:lpstr>
      <vt:lpstr>artículos</vt:lpstr>
      <vt:lpstr>clientes</vt:lpstr>
      <vt:lpstr>Registro de facturas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behringer</dc:creator>
  <cp:keywords/>
  <dc:description/>
  <cp:lastModifiedBy>Alejandro Behringer</cp:lastModifiedBy>
  <cp:revision/>
  <dcterms:created xsi:type="dcterms:W3CDTF">2001-06-02T13:46:30Z</dcterms:created>
  <dcterms:modified xsi:type="dcterms:W3CDTF">2024-09-30T18:53:30Z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21b9da11-a351-477d-8931-bac7cecf7974</vt:lpwstr>
  </property>
  <property fmtid="{D5CDD505-2E9C-101B-9397-08002B2CF9AE}" pid="3" name="ContentTypeId">
    <vt:lpwstr>0x010100674FD52A83EA6F42B24A8CC4AC0D895F</vt:lpwstr>
  </property>
</Properties>
</file>